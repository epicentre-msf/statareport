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8" Type="http://schemas.openxmlformats.org/officeDocument/2006/relationships/custom-properties" Target="docProps/custom.xml"/><Relationship Id="rId7" Type="http://schemas.openxmlformats.org/officeDocument/2006/relationships/extended-properties" Target="docProps/app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package/2006/relationships/metadata/core-properties" Target="docProps/core.xml"/><Relationship Id="rId5" Type="http://schemas.microsoft.com/office/2006/relationships/ui/userCustomization" Target="userCustomization/customUI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komlaviamevoin/Unsync-Working-Folders/statareport/ressources/"/>
    </mc:Choice>
  </mc:AlternateContent>
  <xr:revisionPtr revIDLastSave="0" documentId="13_ncr:1_{E795105C-5F56-8A4F-9984-00D85C053B25}" xr6:coauthVersionLast="47" xr6:coauthVersionMax="47" xr10:uidLastSave="{00000000-0000-0000-0000-000000000000}"/>
  <bookViews>
    <workbookView xWindow="6400" yWindow="600" windowWidth="38400" windowHeight="19900" activeTab="1" xr2:uid="{00000000-000D-0000-FFFF-FFFF00000000}"/>
  </bookViews>
  <sheets>
    <sheet name="Recap" sheetId="101" r:id="rId1"/>
    <sheet name="Labels" sheetId="105" r:id="rId2"/>
    <sheet name="sec1_deviation" sheetId="124" r:id="rId3"/>
    <sheet name="sec1_scr_pat" sheetId="1" r:id="rId4"/>
    <sheet name="sec1_inc_pat" sheetId="2" r:id="rId5"/>
    <sheet name="sec1_nb_vt" sheetId="4" r:id="rId6"/>
    <sheet name="sec1_inc_mitt" sheetId="3" r:id="rId7"/>
    <sheet name="sec2_bas_char_tot" sheetId="131" r:id="rId8"/>
    <sheet name="sec2_bas_char" sheetId="5" r:id="rId9"/>
    <sheet name="sec2_labdiag" sheetId="6" r:id="rId10"/>
    <sheet name="sec2_res_mal" sheetId="9" r:id="rId11"/>
    <sheet name="sec2_taste" sheetId="128" r:id="rId12"/>
    <sheet name="sec2_accept" sheetId="130" r:id="rId13"/>
    <sheet name="sec2_acc" sheetId="129" r:id="rId14"/>
    <sheet name="sec2_vit_sg" sheetId="10" r:id="rId15"/>
    <sheet name="sec2_rhat" sheetId="108" r:id="rId16"/>
    <sheet name="sec2_mehs_soc" sheetId="8" r:id="rId17"/>
    <sheet name="sec2_physex" sheetId="14" r:id="rId18"/>
    <sheet name="sec2_neurex" sheetId="15" r:id="rId19"/>
    <sheet name="sec2_hema" sheetId="107" r:id="rId20"/>
    <sheet name="sec2_hemagluc" sheetId="122" r:id="rId21"/>
    <sheet name="sec2_ecg" sheetId="17" r:id="rId22"/>
    <sheet name="sec2_hs_rhat" sheetId="7" r:id="rId23"/>
    <sheet name="sec3_patdev1" sheetId="110" r:id="rId24"/>
    <sheet name="sec3_patdev2" sheetId="123" r:id="rId25"/>
    <sheet name="sec4_wbc" sheetId="120" r:id="rId26"/>
    <sheet name="sec5_ssrhat" sheetId="111" r:id="rId27"/>
    <sheet name="sec5_vitsigns" sheetId="114" r:id="rId28"/>
    <sheet name="sec5_genstatus" sheetId="116" r:id="rId29"/>
    <sheet name="sec5_aenumb" sheetId="117" r:id="rId30"/>
    <sheet name="sec5_aetreat" sheetId="127" r:id="rId31"/>
  </sheets>
  <definedNames>
    <definedName name="_xlnm._FilterDatabase" localSheetId="1" hidden="1">Labels!$A$1:$J$203</definedName>
    <definedName name="_xlnm._FilterDatabase" localSheetId="0" hidden="1">Labels!$J$1:$J$203</definedName>
    <definedName name="TablesList">Recap!$G$2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05" l="1"/>
  <c r="K4" i="105"/>
  <c r="H8" i="101"/>
  <c r="H7" i="101"/>
  <c r="H122" i="101"/>
  <c r="H55" i="101"/>
  <c r="H56" i="101"/>
  <c r="H5" i="101"/>
  <c r="H6" i="101"/>
  <c r="H9" i="101"/>
  <c r="H10" i="101"/>
  <c r="H11" i="101"/>
  <c r="H12" i="101"/>
  <c r="H13" i="101"/>
  <c r="H14" i="101"/>
  <c r="H15" i="101"/>
  <c r="H16" i="101"/>
  <c r="H18" i="101"/>
  <c r="H19" i="101"/>
  <c r="H22" i="101"/>
  <c r="H23" i="101"/>
  <c r="H47" i="101"/>
  <c r="H48" i="101"/>
  <c r="H49" i="101"/>
  <c r="K193" i="105"/>
  <c r="K52" i="105"/>
  <c r="K53" i="105"/>
  <c r="K59" i="105"/>
  <c r="K60" i="105"/>
  <c r="K2" i="105"/>
  <c r="K3" i="105"/>
  <c r="K6" i="105"/>
  <c r="K7" i="105"/>
  <c r="K8" i="105"/>
  <c r="K9" i="105"/>
  <c r="K12" i="105"/>
  <c r="K13" i="105"/>
  <c r="K14" i="105"/>
  <c r="K15" i="105"/>
  <c r="K16" i="105"/>
  <c r="K17" i="105"/>
  <c r="K18" i="105"/>
  <c r="K19" i="105"/>
  <c r="K22" i="105"/>
  <c r="K23" i="105"/>
  <c r="K26" i="105"/>
  <c r="K27" i="105"/>
  <c r="K51" i="105"/>
  <c r="F20" i="105"/>
  <c r="G17" i="101" s="1"/>
  <c r="F16" i="105"/>
  <c r="F18" i="105"/>
  <c r="G15" i="101" s="1"/>
  <c r="F14" i="105"/>
  <c r="G12" i="101" s="1"/>
  <c r="F7" i="105"/>
  <c r="F11" i="105"/>
  <c r="F12" i="105"/>
  <c r="F10" i="105"/>
  <c r="F9" i="105"/>
  <c r="F179" i="105" l="1"/>
  <c r="F180" i="105"/>
  <c r="F181" i="105"/>
  <c r="F182" i="105"/>
  <c r="F178" i="105"/>
  <c r="F98" i="105"/>
  <c r="F99" i="105"/>
  <c r="F100" i="105"/>
  <c r="F101" i="105"/>
  <c r="F102" i="105"/>
  <c r="F103" i="105"/>
  <c r="F104" i="105"/>
  <c r="F105" i="105"/>
  <c r="F106" i="105"/>
  <c r="F107" i="105"/>
  <c r="F93" i="105"/>
  <c r="F94" i="105"/>
  <c r="F95" i="105"/>
  <c r="F96" i="105"/>
  <c r="F97" i="105"/>
  <c r="F83" i="105"/>
  <c r="F84" i="105"/>
  <c r="F85" i="105"/>
  <c r="F86" i="105"/>
  <c r="F87" i="105"/>
  <c r="F88" i="105"/>
  <c r="F89" i="105"/>
  <c r="F90" i="105"/>
  <c r="F91" i="105"/>
  <c r="F92" i="105"/>
  <c r="F194" i="105"/>
  <c r="F195" i="105"/>
  <c r="F196" i="105"/>
  <c r="F197" i="105"/>
  <c r="F187" i="105"/>
  <c r="G117" i="101" s="1"/>
  <c r="F188" i="105"/>
  <c r="G119" i="101" s="1"/>
  <c r="F189" i="105"/>
  <c r="G121" i="101" s="1"/>
  <c r="F186" i="105"/>
  <c r="G116" i="101" s="1"/>
  <c r="F190" i="105"/>
  <c r="F185" i="105"/>
  <c r="G115" i="101" s="1"/>
  <c r="F21" i="105"/>
  <c r="F177" i="105"/>
  <c r="F172" i="105"/>
  <c r="F167" i="105"/>
  <c r="F162" i="105"/>
  <c r="F157" i="105"/>
  <c r="F156" i="105"/>
  <c r="F152" i="105"/>
  <c r="F147" i="105"/>
  <c r="F142" i="105"/>
  <c r="F137" i="105"/>
  <c r="F132" i="105"/>
  <c r="F127" i="105"/>
  <c r="F122" i="105"/>
  <c r="F117" i="105"/>
  <c r="F112" i="105"/>
  <c r="F82" i="105"/>
  <c r="F77" i="105"/>
  <c r="F72" i="105"/>
  <c r="F67" i="105"/>
  <c r="F176" i="105"/>
  <c r="F171" i="105"/>
  <c r="F166" i="105"/>
  <c r="F161" i="105"/>
  <c r="F151" i="105"/>
  <c r="F146" i="105"/>
  <c r="F141" i="105"/>
  <c r="F136" i="105"/>
  <c r="F131" i="105"/>
  <c r="F126" i="105"/>
  <c r="F121" i="105"/>
  <c r="F116" i="105"/>
  <c r="F76" i="105"/>
  <c r="F78" i="105"/>
  <c r="G68" i="101" s="1"/>
  <c r="F79" i="105"/>
  <c r="G69" i="101" s="1"/>
  <c r="F80" i="105"/>
  <c r="G70" i="101" s="1"/>
  <c r="F81" i="105"/>
  <c r="F108" i="105"/>
  <c r="G71" i="101" s="1"/>
  <c r="F109" i="105"/>
  <c r="G72" i="101" s="1"/>
  <c r="F110" i="105"/>
  <c r="G73" i="101" s="1"/>
  <c r="F111" i="105"/>
  <c r="F113" i="105"/>
  <c r="G74" i="101" s="1"/>
  <c r="F114" i="105"/>
  <c r="G75" i="101" s="1"/>
  <c r="F115" i="105"/>
  <c r="G76" i="101" s="1"/>
  <c r="F118" i="105"/>
  <c r="G77" i="101" s="1"/>
  <c r="F119" i="105"/>
  <c r="G78" i="101" s="1"/>
  <c r="F120" i="105"/>
  <c r="G79" i="101" s="1"/>
  <c r="F123" i="105"/>
  <c r="G80" i="101" s="1"/>
  <c r="F124" i="105"/>
  <c r="G81" i="101" s="1"/>
  <c r="F125" i="105"/>
  <c r="G82" i="101" s="1"/>
  <c r="F128" i="105"/>
  <c r="G83" i="101" s="1"/>
  <c r="F129" i="105"/>
  <c r="G84" i="101" s="1"/>
  <c r="F130" i="105"/>
  <c r="G85" i="101" s="1"/>
  <c r="F133" i="105"/>
  <c r="G86" i="101" s="1"/>
  <c r="F134" i="105"/>
  <c r="G87" i="101" s="1"/>
  <c r="F135" i="105"/>
  <c r="G88" i="101" s="1"/>
  <c r="F138" i="105"/>
  <c r="G89" i="101" s="1"/>
  <c r="F139" i="105"/>
  <c r="G90" i="101" s="1"/>
  <c r="F140" i="105"/>
  <c r="G91" i="101" s="1"/>
  <c r="F143" i="105"/>
  <c r="G92" i="101" s="1"/>
  <c r="F144" i="105"/>
  <c r="G93" i="101" s="1"/>
  <c r="F145" i="105"/>
  <c r="G94" i="101" s="1"/>
  <c r="F148" i="105"/>
  <c r="G95" i="101" s="1"/>
  <c r="F149" i="105"/>
  <c r="G96" i="101" s="1"/>
  <c r="F150" i="105"/>
  <c r="G97" i="101" s="1"/>
  <c r="F153" i="105"/>
  <c r="G98" i="101" s="1"/>
  <c r="F154" i="105"/>
  <c r="G99" i="101" s="1"/>
  <c r="F155" i="105"/>
  <c r="G100" i="101" s="1"/>
  <c r="F158" i="105"/>
  <c r="G101" i="101" s="1"/>
  <c r="F159" i="105"/>
  <c r="G102" i="101" s="1"/>
  <c r="F160" i="105"/>
  <c r="G103" i="101" s="1"/>
  <c r="F163" i="105"/>
  <c r="G104" i="101" s="1"/>
  <c r="F164" i="105"/>
  <c r="G105" i="101" s="1"/>
  <c r="F165" i="105"/>
  <c r="G106" i="101" s="1"/>
  <c r="F168" i="105"/>
  <c r="G107" i="101" s="1"/>
  <c r="F169" i="105"/>
  <c r="G108" i="101" s="1"/>
  <c r="F170" i="105"/>
  <c r="G109" i="101" s="1"/>
  <c r="F173" i="105"/>
  <c r="G110" i="101" s="1"/>
  <c r="F174" i="105"/>
  <c r="G111" i="101" s="1"/>
  <c r="F175" i="105"/>
  <c r="G112" i="101" s="1"/>
  <c r="F183" i="105"/>
  <c r="G113" i="101" s="1"/>
  <c r="F184" i="105"/>
  <c r="G114" i="101" s="1"/>
  <c r="F191" i="105"/>
  <c r="G118" i="101" s="1"/>
  <c r="F192" i="105"/>
  <c r="G120" i="101" s="1"/>
  <c r="F193" i="105"/>
  <c r="G122" i="101" s="1"/>
  <c r="F198" i="105"/>
  <c r="G123" i="101" s="1"/>
  <c r="F199" i="105"/>
  <c r="G124" i="101" s="1"/>
  <c r="F200" i="105"/>
  <c r="G125" i="101" s="1"/>
  <c r="F201" i="105"/>
  <c r="G126" i="101" s="1"/>
  <c r="F202" i="105"/>
  <c r="G127" i="101" s="1"/>
  <c r="F203" i="105"/>
  <c r="F71" i="105"/>
  <c r="F66" i="105"/>
  <c r="F40" i="105"/>
  <c r="G36" i="101" s="1"/>
  <c r="F23" i="105"/>
  <c r="G19" i="101" s="1"/>
  <c r="F24" i="105"/>
  <c r="G20" i="101" s="1"/>
  <c r="F25" i="105"/>
  <c r="G21" i="101" s="1"/>
  <c r="F26" i="105"/>
  <c r="G22" i="101" s="1"/>
  <c r="F27" i="105"/>
  <c r="G23" i="101" s="1"/>
  <c r="F28" i="105"/>
  <c r="G24" i="101" s="1"/>
  <c r="F29" i="105"/>
  <c r="G25" i="101" s="1"/>
  <c r="F30" i="105"/>
  <c r="G26" i="101" s="1"/>
  <c r="F31" i="105"/>
  <c r="G27" i="101" s="1"/>
  <c r="F32" i="105"/>
  <c r="G28" i="101" s="1"/>
  <c r="F33" i="105"/>
  <c r="G29" i="101" s="1"/>
  <c r="F34" i="105"/>
  <c r="G30" i="101" s="1"/>
  <c r="F35" i="105"/>
  <c r="G31" i="101" s="1"/>
  <c r="F36" i="105"/>
  <c r="G32" i="101" s="1"/>
  <c r="F37" i="105"/>
  <c r="G33" i="101" s="1"/>
  <c r="F38" i="105"/>
  <c r="G34" i="101" s="1"/>
  <c r="F39" i="105"/>
  <c r="G35" i="101" s="1"/>
  <c r="F41" i="105"/>
  <c r="G37" i="101" s="1"/>
  <c r="F42" i="105"/>
  <c r="G38" i="101" s="1"/>
  <c r="F43" i="105"/>
  <c r="G39" i="101" s="1"/>
  <c r="F44" i="105"/>
  <c r="G40" i="101" s="1"/>
  <c r="F45" i="105"/>
  <c r="G41" i="101" s="1"/>
  <c r="F46" i="105"/>
  <c r="G42" i="101" s="1"/>
  <c r="F47" i="105"/>
  <c r="G43" i="101" s="1"/>
  <c r="F48" i="105"/>
  <c r="G44" i="101" s="1"/>
  <c r="F49" i="105"/>
  <c r="G45" i="101" s="1"/>
  <c r="F50" i="105"/>
  <c r="G46" i="101" s="1"/>
  <c r="F51" i="105"/>
  <c r="G47" i="101" s="1"/>
  <c r="F52" i="105"/>
  <c r="G48" i="101" s="1"/>
  <c r="F53" i="105"/>
  <c r="G49" i="101" s="1"/>
  <c r="F54" i="105"/>
  <c r="G50" i="101" s="1"/>
  <c r="F55" i="105"/>
  <c r="G51" i="101" s="1"/>
  <c r="F56" i="105"/>
  <c r="G52" i="101" s="1"/>
  <c r="F57" i="105"/>
  <c r="G53" i="101" s="1"/>
  <c r="F58" i="105"/>
  <c r="G54" i="101" s="1"/>
  <c r="F59" i="105"/>
  <c r="G55" i="101" s="1"/>
  <c r="F60" i="105"/>
  <c r="G56" i="101" s="1"/>
  <c r="F61" i="105"/>
  <c r="G57" i="101" s="1"/>
  <c r="F62" i="105"/>
  <c r="G58" i="101" s="1"/>
  <c r="F63" i="105"/>
  <c r="G59" i="101" s="1"/>
  <c r="F64" i="105"/>
  <c r="G60" i="101" s="1"/>
  <c r="F65" i="105"/>
  <c r="G61" i="101" s="1"/>
  <c r="F68" i="105"/>
  <c r="G62" i="101" s="1"/>
  <c r="F69" i="105"/>
  <c r="G63" i="101" s="1"/>
  <c r="F70" i="105"/>
  <c r="G64" i="101" s="1"/>
  <c r="F73" i="105"/>
  <c r="G65" i="101" s="1"/>
  <c r="F74" i="105"/>
  <c r="G66" i="101" s="1"/>
  <c r="F75" i="105"/>
  <c r="G67" i="101" s="1"/>
  <c r="F3" i="105"/>
  <c r="G6" i="101" s="1"/>
  <c r="F4" i="105"/>
  <c r="G7" i="101" s="1"/>
  <c r="F5" i="105"/>
  <c r="G8" i="101" s="1"/>
  <c r="F6" i="105"/>
  <c r="G9" i="101" s="1"/>
  <c r="F8" i="105"/>
  <c r="G10" i="101" s="1"/>
  <c r="F15" i="105"/>
  <c r="G11" i="101" s="1"/>
  <c r="F13" i="105"/>
  <c r="G13" i="101" s="1"/>
  <c r="F17" i="105"/>
  <c r="G14" i="101" s="1"/>
  <c r="F19" i="105"/>
  <c r="G16" i="101" s="1"/>
  <c r="F22" i="105"/>
  <c r="G18" i="101" s="1"/>
  <c r="F2" i="105"/>
  <c r="G5" i="101" s="1"/>
</calcChain>
</file>

<file path=xl/sharedStrings.xml><?xml version="1.0" encoding="utf-8"?>
<sst xmlns="http://schemas.openxmlformats.org/spreadsheetml/2006/main" count="1301" uniqueCount="774">
  <si>
    <t>Tables and Figures</t>
  </si>
  <si>
    <t>Section</t>
  </si>
  <si>
    <t>Subsection</t>
  </si>
  <si>
    <t>DisplayMode</t>
  </si>
  <si>
    <t>InputID</t>
  </si>
  <si>
    <t>InputNumber</t>
  </si>
  <si>
    <t>Caption</t>
  </si>
  <si>
    <t>Figure</t>
  </si>
  <si>
    <t>FootNote</t>
  </si>
  <si>
    <t>Can You modify labels?</t>
  </si>
  <si>
    <t>Patient disposition</t>
  </si>
  <si>
    <t>Yes</t>
  </si>
  <si>
    <t>sec1_scr_pat</t>
  </si>
  <si>
    <t>No</t>
  </si>
  <si>
    <t>Baseline Characteristics</t>
  </si>
  <si>
    <t>sec2_bas_char</t>
  </si>
  <si>
    <t>sec2_labdiag</t>
  </si>
  <si>
    <t>sec2_mehs_soc</t>
  </si>
  <si>
    <t>sec2_res_mal</t>
  </si>
  <si>
    <t>Landscape</t>
  </si>
  <si>
    <t>sec2_rhat_time</t>
  </si>
  <si>
    <t>For each Signs and symptoms of HAT at baseline: Time from symptom n (%)</t>
  </si>
  <si>
    <t>FS: First Symptoms, Sev. : Severity</t>
  </si>
  <si>
    <t>sec2_rhat_grade</t>
  </si>
  <si>
    <t>Tim. : Time from symptom</t>
  </si>
  <si>
    <t>sec2_otherss_first</t>
  </si>
  <si>
    <t>For each Other Signs and symptoms of HAT at baseline: Time from symptom</t>
  </si>
  <si>
    <t>sec2_otherss_sev</t>
  </si>
  <si>
    <t>Portrait</t>
  </si>
  <si>
    <t>sec2_physex</t>
  </si>
  <si>
    <t>sec2_neurex</t>
  </si>
  <si>
    <t>sec2_platelets</t>
  </si>
  <si>
    <t>sec2_leukocytes</t>
  </si>
  <si>
    <t>sec2_neutrophils</t>
  </si>
  <si>
    <t>sec2_eosinophils</t>
  </si>
  <si>
    <t>sec2_basophils</t>
  </si>
  <si>
    <t>sec2_lymphocytes</t>
  </si>
  <si>
    <t>sec2_monocytes</t>
  </si>
  <si>
    <t>sec2_sodium</t>
  </si>
  <si>
    <t>sec2_potassium</t>
  </si>
  <si>
    <t>sec2_bicarbonates</t>
  </si>
  <si>
    <t>sec2_chloride</t>
  </si>
  <si>
    <t>sec2_glucose</t>
  </si>
  <si>
    <t>sec2_calcium</t>
  </si>
  <si>
    <t>sec2_burea</t>
  </si>
  <si>
    <t>sec2_creatinine</t>
  </si>
  <si>
    <t>sec2_alkaline</t>
  </si>
  <si>
    <t>sec2_alat</t>
  </si>
  <si>
    <t>sec2_asat</t>
  </si>
  <si>
    <t>sec2_bilirubin</t>
  </si>
  <si>
    <t>sec2_albumin</t>
  </si>
  <si>
    <t>sec2_tprotein</t>
  </si>
  <si>
    <t>sec2_ecg</t>
  </si>
  <si>
    <t>Adherence</t>
  </si>
  <si>
    <t>sec3_patdev1</t>
  </si>
  <si>
    <t>sec3_patdev2</t>
  </si>
  <si>
    <t>Efficacy results</t>
  </si>
  <si>
    <t>Primary endpoints</t>
  </si>
  <si>
    <t>sec4_deathstage2_ev</t>
  </si>
  <si>
    <t>sec4_deathstage2</t>
  </si>
  <si>
    <t>Secondary endpoints</t>
  </si>
  <si>
    <t>sec4_relapse_total</t>
  </si>
  <si>
    <t>sec4_relapse_total_ci</t>
  </si>
  <si>
    <t>sec4_wbc</t>
  </si>
  <si>
    <t>Safety results</t>
  </si>
  <si>
    <t>Signs and symptoms of rhat</t>
  </si>
  <si>
    <t>sec5_ssrhat</t>
  </si>
  <si>
    <t>Presence of signs and symptoms of HAT at screening, EoH and each FU visits– safety population</t>
  </si>
  <si>
    <t>ECG</t>
  </si>
  <si>
    <t>sec5_ecg</t>
  </si>
  <si>
    <t>ECG results at baseline and subsequent visits– safety population</t>
  </si>
  <si>
    <t>Laboratory parameters</t>
  </si>
  <si>
    <t>Shift plot comparing Hemoglobin baseline values with EOT values - male in safety population</t>
  </si>
  <si>
    <t>Shift plot comparing Hemoglobin baseline values with EOT values - female in safety population</t>
  </si>
  <si>
    <t>sec5_platelets</t>
  </si>
  <si>
    <t>Shift plot comparing platelet baseline values with EOT values - safety population</t>
  </si>
  <si>
    <t>sec5_leukocytes</t>
  </si>
  <si>
    <t>Shift plot comparing leukocyte baseline values with EOT values - safety population</t>
  </si>
  <si>
    <t>sec5_sodium</t>
  </si>
  <si>
    <t>Shift plot comparing sodium baseline values with EOT values - safety population</t>
  </si>
  <si>
    <t>sec5_potassium</t>
  </si>
  <si>
    <t xml:space="preserve">Shift plot comparing potassium baseline values with EOT values - safety population </t>
  </si>
  <si>
    <t>sec5_bicarbonates</t>
  </si>
  <si>
    <t>Shift plot comparing bicarbonates baseline values with EOT values - safety population</t>
  </si>
  <si>
    <t>sec5_chloride</t>
  </si>
  <si>
    <t>Shift plot comparing chloride baseline values with EOT values - safety population</t>
  </si>
  <si>
    <t>sec5_glucose</t>
  </si>
  <si>
    <t>Shift plot comparing glucose baseline values with EOT values - safety population</t>
  </si>
  <si>
    <t>sec5_calcium</t>
  </si>
  <si>
    <t>Shift plot comparing calcium baseline values with EOT values -safety population</t>
  </si>
  <si>
    <t>sec5_burea</t>
  </si>
  <si>
    <t>Shift plot comparing blood urea baseline values with EOT values - safety population</t>
  </si>
  <si>
    <t>sec5_creatinine</t>
  </si>
  <si>
    <t>Shift plot comparing creatinine baseline values with EOT values - safety population</t>
  </si>
  <si>
    <t>sec5_alkaline</t>
  </si>
  <si>
    <t>Shift plot comparing alkaline baseline values with EOT values - safety population</t>
  </si>
  <si>
    <t>sec5_alat</t>
  </si>
  <si>
    <t>Shift plot comparing ALAT baseline values with EOT values - safety population</t>
  </si>
  <si>
    <t>sec5_asat</t>
  </si>
  <si>
    <t>Shift plot comparing ASAT baseline values with EOT values - safety population</t>
  </si>
  <si>
    <t>sec5_bilirubin</t>
  </si>
  <si>
    <t>Shift plot comparing bilirubin baseline values with EOT values - safety population</t>
  </si>
  <si>
    <t>sec5_albumin</t>
  </si>
  <si>
    <t>Shift plot comparing albumin baseline values with EOT values - safety population</t>
  </si>
  <si>
    <t>sec5_tprotein</t>
  </si>
  <si>
    <t>Shift plot comparing Total protein baseline values with EOT values - safety population</t>
  </si>
  <si>
    <t>Vital signs</t>
  </si>
  <si>
    <t>sec5_pulse</t>
  </si>
  <si>
    <t>sec5_weight</t>
  </si>
  <si>
    <t>sec5_bmi</t>
  </si>
  <si>
    <t>Physical and neurological assessment</t>
  </si>
  <si>
    <t>Adverse Events</t>
  </si>
  <si>
    <t>sec5_aenumb</t>
  </si>
  <si>
    <t>sec5_aescreening</t>
  </si>
  <si>
    <t>sec5_aestudyterm</t>
  </si>
  <si>
    <t>label</t>
  </si>
  <si>
    <t>order</t>
  </si>
  <si>
    <t>id</t>
  </si>
  <si>
    <t>deviation 1</t>
  </si>
  <si>
    <t>**En tete 1**</t>
  </si>
  <si>
    <t>deviation 2</t>
  </si>
  <si>
    <t>deviation 3</t>
  </si>
  <si>
    <t>Screened</t>
  </si>
  <si>
    <t xml:space="preserve"> -  Non Eligible</t>
  </si>
  <si>
    <t xml:space="preserve"> -  Did not Sign the Informed Consent</t>
  </si>
  <si>
    <t xml:space="preserve"> -  Not parasitologically confirmed T.b. rhodesiense infection</t>
  </si>
  <si>
    <t xml:space="preserve"> -  No permanent address or not traceable</t>
  </si>
  <si>
    <t xml:space="preserve"> -  Active clinically relevant medical conditions other than HAT</t>
  </si>
  <si>
    <t xml:space="preserve"> -  Compromised general health</t>
  </si>
  <si>
    <t xml:space="preserve"> -  First trimester of pregnancy</t>
  </si>
  <si>
    <t>    -  Included</t>
  </si>
  <si>
    <t>Included (ITT population)</t>
  </si>
  <si>
    <t>Evaluable population</t>
  </si>
  <si>
    <t>Screening</t>
  </si>
  <si>
    <t>1 unscheduled visit</t>
  </si>
  <si>
    <t>2 unscheduled visits</t>
  </si>
  <si>
    <t>3 or more unscheduled visits</t>
  </si>
  <si>
    <t>Total</t>
  </si>
  <si>
    <t>Male -  n (%)</t>
  </si>
  <si>
    <t>Female - n (%)</t>
  </si>
  <si>
    <t>**Blood and lymph node aspirate tests**</t>
  </si>
  <si>
    <t>mAECT -n (%)</t>
  </si>
  <si>
    <t>   -   Positive</t>
  </si>
  <si>
    <t>   -   Negative</t>
  </si>
  <si>
    <t>   -   Not done</t>
  </si>
  <si>
    <t>   -   Missing</t>
  </si>
  <si>
    <t>mAECT-BC -  n (%)</t>
  </si>
  <si>
    <t>Lymph node aspirate -  n (%)</t>
  </si>
  <si>
    <t>MHCT (Woo test)  -  n (%)</t>
  </si>
  <si>
    <t>Thin/Thick blood smear  -  n (%)</t>
  </si>
  <si>
    <t>   -    Not done</t>
  </si>
  <si>
    <t>**Cerebrospinal fluid test**</t>
  </si>
  <si>
    <t>Trypanosome -  n (%)</t>
  </si>
  <si>
    <t>        Method</t>
  </si>
  <si>
    <t>   -   Missing -  n (%)</t>
  </si>
  <si>
    <t>RDT for Malaria - n (%)</t>
  </si>
  <si>
    <t>   -    Positive</t>
  </si>
  <si>
    <t>   -    Negative</t>
  </si>
  <si>
    <t>Thick smear test - n (%)</t>
  </si>
  <si>
    <t>   -    Missing</t>
  </si>
  <si>
    <t>**General status health -  n (%)**</t>
  </si>
  <si>
    <t>   Good</t>
  </si>
  <si>
    <t>   Altered</t>
  </si>
  <si>
    <t>   Bad</t>
  </si>
  <si>
    <t>   Missing</t>
  </si>
  <si>
    <t>Headaches</t>
  </si>
  <si>
    <t>Drowsiness</t>
  </si>
  <si>
    <t>Asthenia</t>
  </si>
  <si>
    <t>Impotence</t>
  </si>
  <si>
    <t>Amenorrhea</t>
  </si>
  <si>
    <t>Convulsion</t>
  </si>
  <si>
    <t>Fever</t>
  </si>
  <si>
    <t>Insomnia</t>
  </si>
  <si>
    <t>Behavioural disorders</t>
  </si>
  <si>
    <t>Language disorders</t>
  </si>
  <si>
    <t>Pruritus</t>
  </si>
  <si>
    <t>Tremor</t>
  </si>
  <si>
    <t>Gait disorders</t>
  </si>
  <si>
    <t>Anorexia</t>
  </si>
  <si>
    <t>Nausea</t>
  </si>
  <si>
    <t>Diarrhea</t>
  </si>
  <si>
    <t>Slimming/weight loss</t>
  </si>
  <si>
    <t>SOC1</t>
  </si>
  <si>
    <t>PT</t>
  </si>
  <si>
    <t>SOC2…</t>
  </si>
  <si>
    <t>**Patients all normal**</t>
  </si>
  <si>
    <t>**Patients with at least one abnormal**</t>
  </si>
  <si>
    <t>**Patients with at least one missing**</t>
  </si>
  <si>
    <t>**Patients with 5  or more abnormalities**</t>
  </si>
  <si>
    <t>**Head and neck**</t>
  </si>
  <si>
    <t>Eyeball - n (%)</t>
  </si>
  <si>
    <t>     - Normal</t>
  </si>
  <si>
    <t>     - Enophthalmos</t>
  </si>
  <si>
    <t>     - Exophthalmos</t>
  </si>
  <si>
    <t>     - Other</t>
  </si>
  <si>
    <t>     - Missing</t>
  </si>
  <si>
    <t>Tunica conjunctiva palpebrarum - n (%)</t>
  </si>
  <si>
    <t>     - Pale</t>
  </si>
  <si>
    <t>Tunica conjunctiva bulbi - n (%):</t>
  </si>
  <si>
    <t>     - Icteric</t>
  </si>
  <si>
    <t xml:space="preserve">     - Hemorrhagic </t>
  </si>
  <si>
    <t>Facial oedema -  n (%)</t>
  </si>
  <si>
    <t>     - Yes</t>
  </si>
  <si>
    <t xml:space="preserve">     - No </t>
  </si>
  <si>
    <t>Cervical adenomegaly -  n (%)</t>
  </si>
  <si>
    <t>     - No</t>
  </si>
  <si>
    <t>Neck - n (%)</t>
  </si>
  <si>
    <t>     - Flexible</t>
  </si>
  <si>
    <t>     - Stick</t>
  </si>
  <si>
    <t>**Thorax**</t>
  </si>
  <si>
    <t>Labored breathing - n (%)</t>
  </si>
  <si>
    <t>Cardiac auscultation -  n (%)</t>
  </si>
  <si>
    <t>     - Decreased sound</t>
  </si>
  <si>
    <t>     - Abnormal sound</t>
  </si>
  <si>
    <t>Lung auscultation - n (%)</t>
  </si>
  <si>
    <t>     - Tubular breath sound</t>
  </si>
  <si>
    <t>     - Pleural breath sound</t>
  </si>
  <si>
    <t>     - Amphoric breath sound</t>
  </si>
  <si>
    <t>     - Wheeze</t>
  </si>
  <si>
    <t>     - Rhonchi</t>
  </si>
  <si>
    <t>     - Sibilant wheezes</t>
  </si>
  <si>
    <t>     - Bubling rale</t>
  </si>
  <si>
    <t>     - Crepitant rale</t>
  </si>
  <si>
    <t>     - Subcrepitant rale</t>
  </si>
  <si>
    <t>     - Rhonchi rale</t>
  </si>
  <si>
    <t>     - Pleural rub</t>
  </si>
  <si>
    <t xml:space="preserve">  Thorax percussion - n (%)</t>
  </si>
  <si>
    <t>     - Dullness</t>
  </si>
  <si>
    <t>     - Tympanism</t>
  </si>
  <si>
    <t>**Abdomen**</t>
  </si>
  <si>
    <t>Palpation and percussion - n (%)</t>
  </si>
  <si>
    <t>     - Tenderness</t>
  </si>
  <si>
    <t>     - Splenomegaly</t>
  </si>
  <si>
    <t>     - Hepatomegaly</t>
  </si>
  <si>
    <t>Hepatojugular reflux - n (%)</t>
  </si>
  <si>
    <t>**Lower limbs** - n (%)</t>
  </si>
  <si>
    <t>     - Oedema of the limbs</t>
  </si>
  <si>
    <t>     - Others</t>
  </si>
  <si>
    <t>**Skin** - n (%)</t>
  </si>
  <si>
    <t>     - Scratching lesions</t>
  </si>
  <si>
    <t>     - Scabies</t>
  </si>
  <si>
    <t>     - Other abnormality</t>
  </si>
  <si>
    <t>**Patients with specific conditions**</t>
  </si>
  <si>
    <t>**Psychiatric observation**</t>
  </si>
  <si>
    <t>**Higher functions**</t>
  </si>
  <si>
    <t>**Mobility**</t>
  </si>
  <si>
    <t>Upper left Limb</t>
  </si>
  <si>
    <t>Upper right Limb</t>
  </si>
  <si>
    <t>Lower left Limb</t>
  </si>
  <si>
    <t>Lower right Limb</t>
  </si>
  <si>
    <t>Involontary moments</t>
  </si>
  <si>
    <t>Tonus</t>
  </si>
  <si>
    <t>Trophicity</t>
  </si>
  <si>
    <t>Romberg</t>
  </si>
  <si>
    <t>Rapide aternating movements</t>
  </si>
  <si>
    <t>Volitional tremor</t>
  </si>
  <si>
    <t>**Archaic reflex**</t>
  </si>
  <si>
    <t>**Sensitivity**</t>
  </si>
  <si>
    <t>Superficial</t>
  </si>
  <si>
    <t>Kerandel signs</t>
  </si>
  <si>
    <t>Limb position sense</t>
  </si>
  <si>
    <t>**Other neurological abnormalities**</t>
  </si>
  <si>
    <t>Normal -  n (%)</t>
  </si>
  <si>
    <t>Abnormal - n (%)</t>
  </si>
  <si>
    <t>     - Abnormal not CS</t>
  </si>
  <si>
    <t>     - Abnormal CS</t>
  </si>
  <si>
    <t>Missing -  n (%)</t>
  </si>
  <si>
    <t xml:space="preserve">     - Abnormal not CS (fasting conditions) </t>
  </si>
  <si>
    <t>     - Abnormal not CS (not on fasting conditions)</t>
  </si>
  <si>
    <t>     - Abnormal CS (fasting conditions)</t>
  </si>
  <si>
    <t>     - Abnormal CS (not on fasting conditions)</t>
  </si>
  <si>
    <t>Normal</t>
  </si>
  <si>
    <t>Abnormal</t>
  </si>
  <si>
    <t>Missing</t>
  </si>
  <si>
    <t>History of HAT -  n (%)</t>
  </si>
  <si>
    <t>Stage 1 -  n (%)</t>
  </si>
  <si>
    <t>Stage 2 -  n (%)</t>
  </si>
  <si>
    <t>**Treatment received**</t>
  </si>
  <si>
    <t>Patients who did not complete the full course of treatment</t>
  </si>
  <si>
    <t>Patients not fully compliant</t>
  </si>
  <si>
    <t>Patients who did not take at least one treatment during a meal</t>
  </si>
  <si>
    <t>Patients who had at least one re-administration due to vomiting</t>
  </si>
  <si>
    <t>Patients who had at least one re-administration due to other reason</t>
  </si>
  <si>
    <t>Number of re-administration(s) by patient -  median [Q1 ; Q3] (min/max)</t>
  </si>
  <si>
    <t xml:space="preserve">     - WBC / mm3 CSF N, median (IQR) (min/max) </t>
  </si>
  <si>
    <t>Slimming / Weight loss</t>
  </si>
  <si>
    <t>     - Median [Q1 ; Q3] (min/max)</t>
  </si>
  <si>
    <t>Change from baseline</t>
  </si>
  <si>
    <t>     - N, Mean (SD)</t>
  </si>
  <si>
    <t xml:space="preserve">Good </t>
  </si>
  <si>
    <t xml:space="preserve">Altered </t>
  </si>
  <si>
    <t xml:space="preserve">Bad </t>
  </si>
  <si>
    <t xml:space="preserve">Missing </t>
  </si>
  <si>
    <t xml:space="preserve"> -  During Screening</t>
  </si>
  <si>
    <t xml:space="preserve"> -  During hospitalization</t>
  </si>
  <si>
    <t xml:space="preserve">     -  AE related</t>
  </si>
  <si>
    <t xml:space="preserve">     - Serious AE</t>
  </si>
  <si>
    <t xml:space="preserve">     - Not related and not serious AE</t>
  </si>
  <si>
    <t xml:space="preserve"> - SAE</t>
  </si>
  <si>
    <t xml:space="preserve"> - Adverse Event leading to death</t>
  </si>
  <si>
    <t>N, mean (sd)</t>
  </si>
  <si>
    <t>Presence of other signs and symptoms of HAT at screening, EoH and each FU visits– safety population</t>
  </si>
  <si>
    <t>sec5_otherssrhat</t>
  </si>
  <si>
    <t>sec1_inc_pat</t>
  </si>
  <si>
    <t>sec1_nb_vt</t>
  </si>
  <si>
    <t>D1</t>
  </si>
  <si>
    <t>D5</t>
  </si>
  <si>
    <t>D11</t>
  </si>
  <si>
    <t>EOH</t>
  </si>
  <si>
    <t>M3</t>
  </si>
  <si>
    <t>M6</t>
  </si>
  <si>
    <t>Bandundu</t>
  </si>
  <si>
    <t>Masi-Manimba</t>
  </si>
  <si>
    <t>Dipumba</t>
  </si>
  <si>
    <t>Katanda</t>
  </si>
  <si>
    <t>Bagata</t>
  </si>
  <si>
    <t>Dubreka</t>
  </si>
  <si>
    <t>   -   Stage 1 -  n (%)</t>
  </si>
  <si>
    <t>   -   Intermediate -  n (%)</t>
  </si>
  <si>
    <t>   -   Stage 2 -  n (%)</t>
  </si>
  <si>
    <t>   -   WBC &gt; 20 -  n (%)</t>
  </si>
  <si>
    <t>   -   5 &lt; WBC &lt;= 20 -  n (%)</t>
  </si>
  <si>
    <t>   -   WBC &lt;= 5 -  n (%)</t>
  </si>
  <si>
    <t>Include</t>
  </si>
  <si>
    <t>   ND</t>
  </si>
  <si>
    <t>sec2_hemo_1</t>
  </si>
  <si>
    <t>sec2_hemo_2</t>
  </si>
  <si>
    <t>sec5_hemo_1</t>
  </si>
  <si>
    <t>sec5_hemo_2</t>
  </si>
  <si>
    <t>platelets_7_m3</t>
  </si>
  <si>
    <t>leukocytes_7_m3</t>
  </si>
  <si>
    <t>sodium_7_m3</t>
  </si>
  <si>
    <t>potassium_7_m3</t>
  </si>
  <si>
    <t>bicarbonates_7_m3</t>
  </si>
  <si>
    <t xml:space="preserve">chloride_7_m3 </t>
  </si>
  <si>
    <t xml:space="preserve">glucose_7_m3 </t>
  </si>
  <si>
    <t xml:space="preserve">calcium_7_m3 </t>
  </si>
  <si>
    <t xml:space="preserve">burea_7_m3 </t>
  </si>
  <si>
    <t xml:space="preserve">creatinine_7_m3 </t>
  </si>
  <si>
    <t>alkaline_7_m3</t>
  </si>
  <si>
    <t>alat_7_m3</t>
  </si>
  <si>
    <t>asat_7_m3</t>
  </si>
  <si>
    <t>bilirubin_7_m3</t>
  </si>
  <si>
    <t>albumin_7_m3</t>
  </si>
  <si>
    <t>tprotein_7_m3</t>
  </si>
  <si>
    <t>platelets_5_d11</t>
  </si>
  <si>
    <t>leukocytes_5_d11</t>
  </si>
  <si>
    <t>sodium_5_d11</t>
  </si>
  <si>
    <t>potassium_5_d11</t>
  </si>
  <si>
    <t>bicarbonates_5_d11</t>
  </si>
  <si>
    <t>chloride_5_d11</t>
  </si>
  <si>
    <t>glucose_5_d11</t>
  </si>
  <si>
    <t>calcium_5_d11</t>
  </si>
  <si>
    <t>burea_5_d11</t>
  </si>
  <si>
    <t>creatinine_5_d11</t>
  </si>
  <si>
    <t>alkaline_5_d11</t>
  </si>
  <si>
    <t>alat_5_d11</t>
  </si>
  <si>
    <t>asat_5_d11</t>
  </si>
  <si>
    <t>bilirubin_5_d11</t>
  </si>
  <si>
    <t>albumin_5_d11</t>
  </si>
  <si>
    <t>tprotein_5_d11</t>
  </si>
  <si>
    <t>Shift plot comparing Hemoglobin baseline values with M3 values - male in safety population</t>
  </si>
  <si>
    <t>Shift plot comparing Hemoglobin baseline values with M3 values - female in safety population</t>
  </si>
  <si>
    <t>Shift plot comparing platelet baseline values with M3 values - safety population</t>
  </si>
  <si>
    <t>Shift plot comparing leukocyte baseline values with M3 values - safety population</t>
  </si>
  <si>
    <t>Shift plot comparing sodium baseline values with M3 values - safety population</t>
  </si>
  <si>
    <t>Shift plot comparing potassium baseline values with M3 values - safety population</t>
  </si>
  <si>
    <t xml:space="preserve">Shift plot comparing bicarbonates baseline values with M3 values - safety population </t>
  </si>
  <si>
    <t>Shift plot comparing chloride baseline values with M3 values - safety population</t>
  </si>
  <si>
    <t>Shift plot comparing glucose baseline values with M3 values - safety population</t>
  </si>
  <si>
    <t>Shift plot comparing calcium baseline values with M3 values - safety population</t>
  </si>
  <si>
    <t>Shift plot comparing blood urea baseline values with M3 values - safety population</t>
  </si>
  <si>
    <t>Shift plot comparing creatinine baseline values with M3 values - safety population</t>
  </si>
  <si>
    <t>Shift plot comparing alkaline baseline values with M3 values - safety population</t>
  </si>
  <si>
    <t>Shift plot comparing ALAT baseline values with M3 values - safety population</t>
  </si>
  <si>
    <t>Shift plot comparing ASAT baseline values with M3 values - safety population</t>
  </si>
  <si>
    <t>Shift plot comparing bilirubin baseline values with M3 values - safety population</t>
  </si>
  <si>
    <t>Shift plot comparing albumin baseline values with M3 values - safety population</t>
  </si>
  <si>
    <t>Shift plot comparing Total protein baseline values with M3 values - safety population</t>
  </si>
  <si>
    <t>hemoglobin_5_maled11</t>
  </si>
  <si>
    <t>hemoglobin_7_malem3</t>
  </si>
  <si>
    <t>hemoglobin_5_femaled11</t>
  </si>
  <si>
    <t>hemoglobin_7_femalem3</t>
  </si>
  <si>
    <t xml:space="preserve"> -  At 3 Month follow up</t>
  </si>
  <si>
    <t xml:space="preserve"> -  At 6 Months follow up</t>
  </si>
  <si>
    <t>sec5_aefup3mth</t>
  </si>
  <si>
    <t>sec5_aefup6mth</t>
  </si>
  <si>
    <t>sec5_scaeserious</t>
  </si>
  <si>
    <t>sec5_aehospit</t>
  </si>
  <si>
    <t>Shift plot comparing leukocyte baseline values with M6 values - safety population</t>
  </si>
  <si>
    <t>Shift plot comparing sodium baseline values with M6 values - safety population</t>
  </si>
  <si>
    <t>leukocytes_9_m12</t>
  </si>
  <si>
    <t>hemoglobin_9_malem12</t>
  </si>
  <si>
    <t>Shift plot comparing Hemoglobin baseline values with M12 values - male in safety population</t>
  </si>
  <si>
    <t>hemoglobin_9_femalem12</t>
  </si>
  <si>
    <t>Shift plot comparing Hemoglobin baseline values with M12 values - female in safety population</t>
  </si>
  <si>
    <t>platelets_9_m12</t>
  </si>
  <si>
    <t>Shift plot comparing platelet baseline values with M12 values - safety population</t>
  </si>
  <si>
    <t>Shift plot comparing Hemoglobin baseline values with M6 values - female in safety population</t>
  </si>
  <si>
    <t>Shift plot comparing potassium baseline values with M6 values - safety population</t>
  </si>
  <si>
    <t xml:space="preserve">Shift plot comparing bicarbonates baseline values with M6 values - safety population </t>
  </si>
  <si>
    <t>Shift plot comparing chloride baseline values with M6 values - safety population</t>
  </si>
  <si>
    <t>Shift plot comparing glucose baseline values with M6 values - safety population</t>
  </si>
  <si>
    <t>Shift plot comparing calcium baseline values with M6 values - safety population</t>
  </si>
  <si>
    <t>Shift plot comparing blood urea baseline values with M6 values - safety population</t>
  </si>
  <si>
    <t>Shift plot comparing creatinine baseline values with M6 values - safety population</t>
  </si>
  <si>
    <t>Shift plot comparing alkaline baseline values with M6 values - safety population</t>
  </si>
  <si>
    <t>Shift plot comparing ASAT baseline values with M6 values - safety population</t>
  </si>
  <si>
    <t>Shift plot comparing bilirubin baseline values with M6 values - safety population</t>
  </si>
  <si>
    <t>Shift plot comparing albumin baseline values with M6 values - safety population</t>
  </si>
  <si>
    <t>Shift plot comparing Total protein baseline values with M6 values - safety population</t>
  </si>
  <si>
    <t>platelets_8_m6</t>
  </si>
  <si>
    <t>leukocytes_8_m6</t>
  </si>
  <si>
    <t>sodium_8_m6</t>
  </si>
  <si>
    <t>potassium_8_m6</t>
  </si>
  <si>
    <t>bicarbonates_8_m6</t>
  </si>
  <si>
    <t>chloride_8_m6</t>
  </si>
  <si>
    <t xml:space="preserve">glucose_8_m6 </t>
  </si>
  <si>
    <t xml:space="preserve">calcium_8_m6 </t>
  </si>
  <si>
    <t>burea_8_m6</t>
  </si>
  <si>
    <t xml:space="preserve">creatinine_8_m6 </t>
  </si>
  <si>
    <t>asat_8_m6</t>
  </si>
  <si>
    <t>bilirubin_8_m6</t>
  </si>
  <si>
    <t>albumin_8_m6</t>
  </si>
  <si>
    <t>tprotein_8_m6</t>
  </si>
  <si>
    <t>hemoglobin_8_malem6</t>
  </si>
  <si>
    <t>Shift plot comparing Hemoglobin baseline values with M6 values - male in safety population</t>
  </si>
  <si>
    <t>hemoglobin_8_femalem6</t>
  </si>
  <si>
    <t>Shift plot comparing leukocyte baseline values with M12 values - safety population</t>
  </si>
  <si>
    <t>sodium_9_m12</t>
  </si>
  <si>
    <t>Shift plot comparing sodium baseline values with M12 values - safety population</t>
  </si>
  <si>
    <t>potassium_9_m12</t>
  </si>
  <si>
    <t>Shift plot comparing potassium baseline values with M12 values - safety population</t>
  </si>
  <si>
    <t>bicarbonates_9_m12</t>
  </si>
  <si>
    <t xml:space="preserve">Shift plot comparing bicarbonates baseline values with M12 values - safety population </t>
  </si>
  <si>
    <t>Shift plot comparing platelet baseline values with M6 values - safety population</t>
  </si>
  <si>
    <t>chloride_9_m12</t>
  </si>
  <si>
    <t>Shift plot comparing chloride baseline values with M12 values - safety population</t>
  </si>
  <si>
    <t>glucose_9_m12</t>
  </si>
  <si>
    <t>Shift plot comparing glucose baseline values with M12 values - safety population</t>
  </si>
  <si>
    <t>calcium_9_m12</t>
  </si>
  <si>
    <t>Shift plot comparing calcium baseline values with M12 values - safety population</t>
  </si>
  <si>
    <t>burea_9_m12</t>
  </si>
  <si>
    <t>Shift plot comparing blood urea baseline values with M12 values - safety population</t>
  </si>
  <si>
    <t>creatinine_9_m12</t>
  </si>
  <si>
    <t>Shift plot comparing creatinine baseline values with M12 values - safety population</t>
  </si>
  <si>
    <t>Shift plot comparing alkaline baseline values with M12 values - safety population</t>
  </si>
  <si>
    <t>alat_8_m6</t>
  </si>
  <si>
    <t>Shift plot comparing ALAT baseline values with M6 values - safety population</t>
  </si>
  <si>
    <t>alat_9_m12</t>
  </si>
  <si>
    <t>Shift plot comparing ALAT baseline values with M12 values - safety population</t>
  </si>
  <si>
    <t>asat_9_m12</t>
  </si>
  <si>
    <t>Shift plot comparing ASAT baseline values with M12 values - safety population</t>
  </si>
  <si>
    <t>bilirubin_9_m12</t>
  </si>
  <si>
    <t>Shift plot comparing bilirubin baseline values with M12 values - safety population</t>
  </si>
  <si>
    <t>albumin_9_m12</t>
  </si>
  <si>
    <t>Shift plot comparing albumin baseline values with M12 values - safety population</t>
  </si>
  <si>
    <t>tprotein_9_m12</t>
  </si>
  <si>
    <t>Shift plot comparing Total protein baseline values with M12 values - safety population</t>
  </si>
  <si>
    <t>alkaline_8_m6</t>
  </si>
  <si>
    <t>alkaline_9_m12</t>
  </si>
  <si>
    <t>sec2_tsh</t>
  </si>
  <si>
    <t xml:space="preserve">     - Grade &gt;= 3</t>
  </si>
  <si>
    <t xml:space="preserve">     - AE Related</t>
  </si>
  <si>
    <t xml:space="preserve">     - SAE</t>
  </si>
  <si>
    <t xml:space="preserve">     - Mild or moderate AE</t>
  </si>
  <si>
    <t xml:space="preserve"> - **All Adverse Events**</t>
  </si>
  <si>
    <t xml:space="preserve"> Adverse Event leading to study termination</t>
  </si>
  <si>
    <t>sec5_height</t>
  </si>
  <si>
    <t>sec5_temp</t>
  </si>
  <si>
    <t>sec5_sbp</t>
  </si>
  <si>
    <t>sec5_dbp</t>
  </si>
  <si>
    <t>sec5_physex</t>
  </si>
  <si>
    <t>sec5_neurex</t>
  </si>
  <si>
    <t>sec5_resprate</t>
  </si>
  <si>
    <t>sec5_btreatment</t>
  </si>
  <si>
    <t>sec5_atreatment</t>
  </si>
  <si>
    <t>sec5_aebef3months</t>
  </si>
  <si>
    <t>sec5_aebetm3m6</t>
  </si>
  <si>
    <t>Verbal flux     -   n (%)</t>
  </si>
  <si>
    <t>     -   Normal</t>
  </si>
  <si>
    <t>     -   Reduced</t>
  </si>
  <si>
    <t>     -   Excessive</t>
  </si>
  <si>
    <t>     -   NA</t>
  </si>
  <si>
    <t>     -   Missing</t>
  </si>
  <si>
    <t>Contact:      -   n (%)</t>
  </si>
  <si>
    <t>     -   Cooperative</t>
  </si>
  <si>
    <t>     -   Not cooperative</t>
  </si>
  <si>
    <t>     -   Excessive informality</t>
  </si>
  <si>
    <t>Mood      -   n (%)</t>
  </si>
  <si>
    <t>     -   Euthymism</t>
  </si>
  <si>
    <t>     -   Suicidal ideas</t>
  </si>
  <si>
    <t>     -   Depressive</t>
  </si>
  <si>
    <t>     -   Exaltation</t>
  </si>
  <si>
    <t>     -   Mania</t>
  </si>
  <si>
    <t>Psychomotricity      -   n (%)</t>
  </si>
  <si>
    <t>     -   Inertia/inhibition</t>
  </si>
  <si>
    <t>     -   Slowing down</t>
  </si>
  <si>
    <t>     -   Instability</t>
  </si>
  <si>
    <t>     -   Excitement</t>
  </si>
  <si>
    <t>Behavioural disorders      -   n (%)</t>
  </si>
  <si>
    <t>     -   Absent</t>
  </si>
  <si>
    <t>     -   Mild       -  Moderate</t>
  </si>
  <si>
    <t>     -   Severe</t>
  </si>
  <si>
    <t>Pathological mental      -   n (%)</t>
  </si>
  <si>
    <t>     -   Present</t>
  </si>
  <si>
    <t>Awareness:     -   n (%)</t>
  </si>
  <si>
    <t>     -   Lethargic</t>
  </si>
  <si>
    <t>     -   Coma</t>
  </si>
  <si>
    <t>Glasgow Coma score     -   N, mean (sd)</t>
  </si>
  <si>
    <t>     -   Normal n (%)</t>
  </si>
  <si>
    <t>     -   Abnormal n (%)</t>
  </si>
  <si>
    <t xml:space="preserve">      -   Missing n (%)</t>
  </si>
  <si>
    <t>Speech: Verbal expression     -   n (%)</t>
  </si>
  <si>
    <t>     -   Dysarthria</t>
  </si>
  <si>
    <t>     -   Unintelligible</t>
  </si>
  <si>
    <t>Speech: Understanding     -   n (%)</t>
  </si>
  <si>
    <t>     -   Altered</t>
  </si>
  <si>
    <t>Memory     -   n (%)</t>
  </si>
  <si>
    <t>     -   Amnesia</t>
  </si>
  <si>
    <t>Orientation in time     -   n (%)</t>
  </si>
  <si>
    <t>     -   Disrupted</t>
  </si>
  <si>
    <t>     -   Not done</t>
  </si>
  <si>
    <t>Praxis     -   n (%)</t>
  </si>
  <si>
    <t>     -   Apraxia (mild to moderate)</t>
  </si>
  <si>
    <t>     -   Apraxia (severe)</t>
  </si>
  <si>
    <t>Cerebral nerves     -   n (%)</t>
  </si>
  <si>
    <t>     -   Impaired</t>
  </si>
  <si>
    <t>Walking     -   n (%)</t>
  </si>
  <si>
    <t>     -   Difficult</t>
  </si>
  <si>
    <t>     -   Help Needed</t>
  </si>
  <si>
    <t>Segmental motor strength *Barré, Mingazzini*     -   n (%)</t>
  </si>
  <si>
    <t>     -   Decreased</t>
  </si>
  <si>
    <t>     -   Present (mild to moderate)</t>
  </si>
  <si>
    <t>     -   Present (severe)</t>
  </si>
  <si>
    <t>     -   Increased</t>
  </si>
  <si>
    <t>**Motor coordination and balance**     -   n (%)</t>
  </si>
  <si>
    <t>Palm       -  Chin reflex</t>
  </si>
  <si>
    <t>sec5_neutrophils</t>
  </si>
  <si>
    <t>neutrophils_5_d11</t>
  </si>
  <si>
    <t>neutrophils_7_m3</t>
  </si>
  <si>
    <t>neutrophils_8_m6</t>
  </si>
  <si>
    <t>neutrophils_9_m12</t>
  </si>
  <si>
    <t>basophils_9_m12</t>
  </si>
  <si>
    <t>sec5_basophils</t>
  </si>
  <si>
    <t>basophils_5_d11</t>
  </si>
  <si>
    <t>basophils_7_m3</t>
  </si>
  <si>
    <t>basophils_8_m6</t>
  </si>
  <si>
    <t>sec5_lymphocytes</t>
  </si>
  <si>
    <t>lymphocytes_5_d11</t>
  </si>
  <si>
    <t>lymphocytes_7_m3</t>
  </si>
  <si>
    <t>lymphocytes_8_m6</t>
  </si>
  <si>
    <t>lymphocytes_9_m12</t>
  </si>
  <si>
    <t>sec5_monocytes</t>
  </si>
  <si>
    <t>monocytes_5_d11</t>
  </si>
  <si>
    <t>monocytes_7_m3</t>
  </si>
  <si>
    <t>monocytes_8_m6</t>
  </si>
  <si>
    <t>monocytes_9_m12</t>
  </si>
  <si>
    <t>sec5_tsh</t>
  </si>
  <si>
    <t xml:space="preserve">     - Death related to gambiense</t>
  </si>
  <si>
    <t xml:space="preserve">     - Death not related to gambiense</t>
  </si>
  <si>
    <t xml:space="preserve">     -  Death related to gambiense</t>
  </si>
  <si>
    <t>Shift plot comparing monocytes baseline values with EOT values - safety population</t>
  </si>
  <si>
    <t>Shift plot comparing monocytes baseline values with M3 values - safety population</t>
  </si>
  <si>
    <t>Shift plot comparing monocytes baseline values with M6 values - safety population</t>
  </si>
  <si>
    <t>Shift plot comparing monocytes baseline values with M12 values - safety population</t>
  </si>
  <si>
    <t>Shift plot comparing lymphocytes baseline values with EOT values - safety population</t>
  </si>
  <si>
    <t>Shift plot comparing lymphocytes baseline values with M3 values - safety population</t>
  </si>
  <si>
    <t>Shift plot comparing lymphocytes baseline values with M6 values - safety population</t>
  </si>
  <si>
    <t>Shift plot comparing lymphocytes baseline values with M12 values - safety population</t>
  </si>
  <si>
    <t>Shift plot comparing basophils baseline values with EOT values - safety population</t>
  </si>
  <si>
    <t>Shift plot comparing basophils baseline values with M3 values - safety population</t>
  </si>
  <si>
    <t>Shift plot comparing basophils baseline values with M6 values - safety population</t>
  </si>
  <si>
    <t>Shift plot comparing basophils baseline values with M12 values - safety population</t>
  </si>
  <si>
    <t>Shift plot comparing neutrophils baseline values with EOT values - safety population</t>
  </si>
  <si>
    <t>Shift plot comparing neutrophils baseline values with M3 values - safety population</t>
  </si>
  <si>
    <t>Shift plot comparing neutrophils baseline values with M6 values - safety population</t>
  </si>
  <si>
    <t>Shift plot comparing neutrophils baseline values with M12 values - safety population</t>
  </si>
  <si>
    <t>sec5_eosinophils</t>
  </si>
  <si>
    <t>eosinophils_5_d11</t>
  </si>
  <si>
    <t>eosinophils_7_m3</t>
  </si>
  <si>
    <t>eosinophils_8_m6</t>
  </si>
  <si>
    <t>eosinophils_9_m12</t>
  </si>
  <si>
    <t>Shift plot comparing eosinophils baseline values with EOT values - safety population</t>
  </si>
  <si>
    <t>Shift plot comparing eosinophils baseline values with M3 values - safety population</t>
  </si>
  <si>
    <t>Shift plot comparing eosinophils baseline values with M6 values - safety population</t>
  </si>
  <si>
    <t>Shift plot comparing eosinophils baseline values with M12 values - safety population</t>
  </si>
  <si>
    <t>tsh_7_m3</t>
  </si>
  <si>
    <t>tsh_5_d11</t>
  </si>
  <si>
    <t>tsh_8_m6</t>
  </si>
  <si>
    <t>tsh_9_m12</t>
  </si>
  <si>
    <t>Reason</t>
  </si>
  <si>
    <t xml:space="preserve"> -  &lt;6 years old</t>
  </si>
  <si>
    <t xml:space="preserve"> -  Previously enrolled or previous treatment of acoziborole</t>
  </si>
  <si>
    <t xml:space="preserve"> -   Male &gt; 2 years</t>
  </si>
  <si>
    <t xml:space="preserve"> -  Male &lt;= 2 years</t>
  </si>
  <si>
    <t xml:space="preserve"> -   Female &gt; 2 years</t>
  </si>
  <si>
    <t xml:space="preserve"> -   Female &lt;= 2 years </t>
  </si>
  <si>
    <t xml:space="preserve"> -   [0 - 5)</t>
  </si>
  <si>
    <t xml:space="preserve"> -  &gt;=10</t>
  </si>
  <si>
    <t>   -    N, mean (sd)</t>
  </si>
  <si>
    <t>   -    median [Q1; Q3] \n (min/max)</t>
  </si>
  <si>
    <t>Weight for age Z-score</t>
  </si>
  <si>
    <t>BMI for age Z-score</t>
  </si>
  <si>
    <t>sec2_vit_sg</t>
  </si>
  <si>
    <t>median [Q1 ; Q3] \n (min/max)</t>
  </si>
  <si>
    <t>     -   Median [Q1 ; Q3] \n (min/max)</t>
  </si>
  <si>
    <t>     -   Mean (sd)</t>
  </si>
  <si>
    <t>Signs and symptoms</t>
  </si>
  <si>
    <t>Very unpleasant taste</t>
  </si>
  <si>
    <t>Unpleasant taste</t>
  </si>
  <si>
    <t>Neutral taste</t>
  </si>
  <si>
    <t>Pleasant taste</t>
  </si>
  <si>
    <t>Very pleasant taste</t>
  </si>
  <si>
    <t>Difficult</t>
  </si>
  <si>
    <t>Neutral</t>
  </si>
  <si>
    <t>Easy</t>
  </si>
  <si>
    <t>Very easy</t>
  </si>
  <si>
    <t>sec2_swal</t>
  </si>
  <si>
    <t>Treatment swallowing</t>
  </si>
  <si>
    <t>Median [Q1 ; Q3] \n (min/max)</t>
  </si>
  <si>
    <t>sec2_taste</t>
  </si>
  <si>
    <t>Treatment taste</t>
  </si>
  <si>
    <t>Palatability</t>
  </si>
  <si>
    <t>Acceptability</t>
  </si>
  <si>
    <t>sec2_admin</t>
  </si>
  <si>
    <t>Treatment administration</t>
  </si>
  <si>
    <t>sec2_accept</t>
  </si>
  <si>
    <t>Treatment acceptance</t>
  </si>
  <si>
    <t>Rejected</t>
  </si>
  <si>
    <t>With difficulty</t>
  </si>
  <si>
    <t>Acceptable</t>
  </si>
  <si>
    <t>Good</t>
  </si>
  <si>
    <t>Very good</t>
  </si>
  <si>
    <t>**Temperature ( C )**</t>
  </si>
  <si>
    <t>**Weight in kg**</t>
  </si>
  <si>
    <t>**Height in m**</t>
  </si>
  <si>
    <t>**BMI in kg/m²**</t>
  </si>
  <si>
    <t>**Heart Rate**</t>
  </si>
  <si>
    <t>**Respiratory rate**</t>
  </si>
  <si>
    <t>**SBP**</t>
  </si>
  <si>
    <t>**DBP**</t>
  </si>
  <si>
    <t>Age in years \n median [Q1 ; Q3] (min/max)</t>
  </si>
  <si>
    <t>sec2_bas_char_tot</t>
  </si>
  <si>
    <t xml:space="preserve"> -   [10 - 20)</t>
  </si>
  <si>
    <t xml:space="preserve"> -  [20 - 30)</t>
  </si>
  <si>
    <t xml:space="preserve"> -  [5 - 10)</t>
  </si>
  <si>
    <t xml:space="preserve"> -  [30 - 40)</t>
  </si>
  <si>
    <t>Medical history</t>
  </si>
  <si>
    <t>Laboratory diagnostic</t>
  </si>
  <si>
    <t>Biochemistry</t>
  </si>
  <si>
    <t>**Age Groups (in years)**</t>
  </si>
  <si>
    <t>**Weight Bands (in Kg)**</t>
  </si>
  <si>
    <t>Very difficult</t>
  </si>
  <si>
    <t>sec2_labdiag_tot</t>
  </si>
  <si>
    <t>**WBC ** \n/ mm3 median [Q1 ; Q3]  (min/max)</t>
  </si>
  <si>
    <t>**Stages**</t>
  </si>
  <si>
    <t>               -   Direct -  n (%)</t>
  </si>
  <si>
    <t>               -   Modified single Centrifugation -  n (%)</t>
  </si>
  <si>
    <t>sec2_vit_sg_tot</t>
  </si>
  <si>
    <t>sec2_res_mal_tot</t>
  </si>
  <si>
    <t>sec2_tsh_tot</t>
  </si>
  <si>
    <t>**Z-Scores**</t>
  </si>
  <si>
    <t>Age in years \n N, median [Q1 ; Q3] (min/max)</t>
  </si>
  <si>
    <t>Age in years \n N, mean (sd)</t>
  </si>
  <si>
    <t xml:space="preserve"> -   (0 - 5]</t>
  </si>
  <si>
    <t xml:space="preserve"> -  (5-10]</t>
  </si>
  <si>
    <t xml:space="preserve"> -  &gt; 10</t>
  </si>
  <si>
    <t xml:space="preserve"> -  Did not sign assent</t>
  </si>
  <si>
    <t>Screened participants</t>
  </si>
  <si>
    <t>Participants disposition - included participants by study site</t>
  </si>
  <si>
    <t>N (%) of death possibly related to r-HAT or to Fexinidazole up to the end of hospitalisation – stage 2 r-HAT participants in the evaluable population</t>
  </si>
  <si>
    <t>Sensitivity analysis: N (%) of death possibly related to r-HAT or to Fexinidazole up to the end of hospitalisation – stage 2 r-HAT participants in the completer population</t>
  </si>
  <si>
    <t>Laboratory parameters: n (%) of participants with normal/abnormal results and descriptive statistics at baseline and subsequent visits for Hemoglobin – male in safety population (g/dL)</t>
  </si>
  <si>
    <t>Laboratory parameters: n (%) of participants with normal/abnormal results and descriptive statistics at baseline and subsequent visits for Hemoglobin – female in safety population (g / dL)</t>
  </si>
  <si>
    <t>Laboratory parameters: n (%) of participants with normal/abnormal results and descriptive statistics at baseline and subsequent visits for Platelets – safety population</t>
  </si>
  <si>
    <t>Leukocytes (10^3/µl): n (%) of participants with normal/abnormal results and descriptive statistics at baseline and subsequent visits– safety population</t>
  </si>
  <si>
    <t>Neutrophils : n (%) of participants with normal/abnormal results and descriptive statistics at baseline and subsequent visits– safety population</t>
  </si>
  <si>
    <t>Eosinophils: n (%) of participants with normal/abnormal results and descriptive statistics at baseline and subsequent visits– safety population</t>
  </si>
  <si>
    <t>Basophilss: n (%) of participants with normal/abnormal results and descriptive statistics at baseline and subsequent visits– safety population</t>
  </si>
  <si>
    <t>Lymphocytes (10^3/µl): n (%) of participants with normal/abnormal results and descriptive statistics at baseline and subsequent visits– safety population</t>
  </si>
  <si>
    <t>Monocytes: n (%) of participants with normal/abnormal results and descriptive statistics at baseline and subsequent visits– safety population</t>
  </si>
  <si>
    <t>Sodium (mmol/L): n (%) of participants with normal/abnormal results and descriptive statistics at baseline and subsequent visits – safety population</t>
  </si>
  <si>
    <t xml:space="preserve"> Potassium (mmol/L): n (%) of participants with normal/abnormal results and descriptive statistics at baseline and subsequent visits – safety population</t>
  </si>
  <si>
    <t>Bicarbonate (tCO2, mmol/L) : n (%) of participants with normal/abnormal results and descriptive statistics at baseline and subsequent visits for – safety population</t>
  </si>
  <si>
    <t>Chloride (mmol/L): n (%) of participants with normal/abnormal results and descriptive statistics at baseline and subsequent visits – safety population</t>
  </si>
  <si>
    <t xml:space="preserve"> Glucose (mmol/L): n (%) of participants with normal/abnormal results and descriptive statistics at baseline and subsequent visits – safety population</t>
  </si>
  <si>
    <t>Calcium (mmol/L): n (%) of participants with normal/abnormal results and descriptive statistics at baseline and subsequent visits – safety population</t>
  </si>
  <si>
    <t>Blood urea (mg/dL) : n (%) of participants with normal/abnormal results and descriptive statistics at baseline and subsequent visits – safety population</t>
  </si>
  <si>
    <t>Creatinine (IU/L): n (%) of participants with normal/abnormal results and descriptive statistics at baseline and subsequent visits – safety population</t>
  </si>
  <si>
    <t>Alkaline phosphatase (ALP, IU/L) : n (%) of participants with normal/abnormal results and descriptive statistics at baseline and subsequent visits – safety population</t>
  </si>
  <si>
    <t>Alanine aminotransferase (ALAT , IU/L) : n (%) of participants with normal/abnormal results and descriptive statistics at baseline and subsequent visits – safety population</t>
  </si>
  <si>
    <t>Aspartate aminotransferase (ASAT, IU/L) : n (%) of participants with normal/abnormal results and descriptive statistics at baseline and subsequent visits – safety population</t>
  </si>
  <si>
    <t>Total Bilirubin (mg/dL): n (%) of participants with normal/abnormal results and descriptive statistics at baseline and subsequent visits – safety population</t>
  </si>
  <si>
    <t>Albumin (g/dL): n (%) of participants with normal/abnormal results and descriptive statistics at baseline and subsequent visits – safety population</t>
  </si>
  <si>
    <t>Total protein (g/dL): n (%) of participants with normal/abnormal results and descriptive statistics at baseline and subsequent visits – safety population</t>
  </si>
  <si>
    <t>Thyroid assesment: n (%) of participants with normal/abnormal results and descriptive statistics at baseline and subsequent visits - safety Population</t>
  </si>
  <si>
    <t xml:space="preserve">Physical examination: n (%) of participants with normal/abnormal results at baseline, D5, EoT and EoH visits – safety population </t>
  </si>
  <si>
    <t>Neurological examinations: n (%) of participants with normal/abnormal examination at baseline, D5, EoT and EoH visits – safety population</t>
  </si>
  <si>
    <t>Number of AEs, number and % of participants with at least one AE in each category -safety population</t>
  </si>
  <si>
    <t>Number of AEs, number and % of participants with at least one AE in each category -safety population before treatment</t>
  </si>
  <si>
    <t>Number of AEs, number and % of participants with at least one AE in each category -safety population after treatment</t>
  </si>
  <si>
    <t>Number of AEs, number and % of participants with at least one AE in each category -safety population before 3 months follow up</t>
  </si>
  <si>
    <t>Number of AEs, number and % of participants with at least one AE in each category -safety population between 3 to 6 months follow up</t>
  </si>
  <si>
    <t>Number of AEs, number and % of participants with at least one AE by SOC and PT during the screening period -safety population</t>
  </si>
  <si>
    <t>Number of AEs, number and % of participants with at least one AE by SOC and PT during the hospitalization period -safety population</t>
  </si>
  <si>
    <t>Number of AEs, number and % of participants with at least one AE by SOC and PT during the follow up period -safety population</t>
  </si>
  <si>
    <t>Number of AEs, number and % of participants with at least one AE related to IP by SOC and PT during the hospitalization -safety population</t>
  </si>
  <si>
    <t>Number of SAEs, number and % of participants with at least one SAE -safety population</t>
  </si>
  <si>
    <t>Number of AEs, number and % of participants with at least one AE related to study termination -safety population</t>
  </si>
  <si>
    <t>Link</t>
  </si>
  <si>
    <t>Table / Figure</t>
  </si>
  <si>
    <t>Go to sheet</t>
  </si>
  <si>
    <t>Sheet</t>
  </si>
  <si>
    <t>sec1_inc_ITT_form</t>
  </si>
  <si>
    <t>sec1_inc_ITT_stage</t>
  </si>
  <si>
    <t>sec4_deathstage2_ITT</t>
  </si>
  <si>
    <t>Participants disposition - included participants by tablet form - ITT population</t>
  </si>
  <si>
    <t>Participants disposition - included participants by stage - ITT population</t>
  </si>
  <si>
    <t>Number of participants by type of visits performed - ITT population</t>
  </si>
  <si>
    <t>Preselection characteristics total - ITT population</t>
  </si>
  <si>
    <t>Preselection characteristics per weight band -ITT population</t>
  </si>
  <si>
    <t>Medical History by SOC/PT - ITT participants</t>
  </si>
  <si>
    <t>Laboratory diagnosis of Hat at preselection total - ITT population</t>
  </si>
  <si>
    <t>Laboratory diagnosis of HAT at preselection per weight band - ITT population</t>
  </si>
  <si>
    <t>Results of malaria test at preselection total - ITT population</t>
  </si>
  <si>
    <t>Results of malaria test at preselection per weight band - ITT population</t>
  </si>
  <si>
    <t>Vital signs at baseline total - ITT population</t>
  </si>
  <si>
    <t>Vital signs at baseline per weight band - ITT population</t>
  </si>
  <si>
    <t>Thyroid assessment at screening total - ITT population</t>
  </si>
  <si>
    <t>Thyroid assesment at screening per weight band - ITT Population</t>
  </si>
  <si>
    <t>For each Signs and symptoms of HAT at baseline: Continuous or interITTent and grade - ITT population n (%)</t>
  </si>
  <si>
    <t>For each Other Signs and symptoms of HAT at baseline: Continuous or interITTent and grade -ITT population n (%)</t>
  </si>
  <si>
    <t>Physical examination at screening: n (%) of participants with normal / abnormal examination - ITT population</t>
  </si>
  <si>
    <t>Neurological examinations at screening: n (%) of participants with anormal / abnormal examination - ITT population</t>
  </si>
  <si>
    <t>Platelets (10^3/µl): n (%) of participants with normal/abnormal results and descriptive statistics -  ITT population</t>
  </si>
  <si>
    <t>Leukocytes (10^3/µl): n (%) of participants with normal/abnormal results and descriptive statistics  -  ITT population</t>
  </si>
  <si>
    <t>Neutrophils (%): n (%) of participants with normal/abnormal results and descriptive statistics  -  ITT population</t>
  </si>
  <si>
    <t>Eosinophils (%): n (%) of participants with normal/abnormal results and descriptive statistics  -  ITT population</t>
  </si>
  <si>
    <t>Basophils (%) : n (%) of participants with normal/abnormal results and descriptive statistics  -  ITT population</t>
  </si>
  <si>
    <t>Lymphocytes (%): n (%) of participants with normal/abnormal results and descriptive statistics  -  ITT population</t>
  </si>
  <si>
    <t>Monocytes (%): n (%) of participants with normal/abnormal results and descriptive statistics  -  ITT population</t>
  </si>
  <si>
    <t>n (%) of participants with normal/abnormal results and descriptive statistics  for Hemoglobin– male (g/dL) in ITT population</t>
  </si>
  <si>
    <t>n (%) of participants with normal/abnormal results and descriptive statistics  for Hemoglobin– female (g/dL) in ITT population</t>
  </si>
  <si>
    <t>Sodium (mmol/L): n (%) of participants with normal/abnormal results and descriptive statistics  -  ITT population</t>
  </si>
  <si>
    <t>Potassium (mmol/L): n (%) of participants with normal/abnormal results and descriptive statistics  -  ITT population</t>
  </si>
  <si>
    <t>Bicarbonates (mmol/L): n (%) of participants with normal/abnormal results and descriptive statistics  -  ITT population</t>
  </si>
  <si>
    <t>Chloride (mmol/L): n (%) of participants with normal/abnormal results and descriptive statistics  -  ITT population</t>
  </si>
  <si>
    <t>Glucose (mg/dL): n (%) of participants with normal/abnormal results and descriptive statistics  -  ITT population</t>
  </si>
  <si>
    <t>Calcium (mg/dL): n (%) of participants with normal/abnormal results and descriptive statistics  -  ITT population</t>
  </si>
  <si>
    <t>Blood Urea (mg/dL): n (%) of participants with normal/abnormal results and descriptive statistics  -  ITT population</t>
  </si>
  <si>
    <t>Creatinine (IU/L): n (%) of participants with normal/abnormal results and descriptive statistics  -  ITT population</t>
  </si>
  <si>
    <t>Alkanine (IU/L): n (%) of participants with normal/abnormal results and descriptive statistics  -  ITT population</t>
  </si>
  <si>
    <t>ALAT (IU/L): n(%) of participants with normal/abnormal results and descriptive statistics - ITT population</t>
  </si>
  <si>
    <t>ASAT (IU/L): n(%) of participants with normal/abnormal resluts and descriptive statistics - ITT population</t>
  </si>
  <si>
    <t>Biluribin (mg/dL): n(%) of participants with normal/abnormal results and descriptive statistics -ITT population</t>
  </si>
  <si>
    <t>Albumin (g/dL): n(%) of participants with normal/abnormal results and descriptive statistics - ITT population</t>
  </si>
  <si>
    <t>Total protein (g/dL) n (%) of participants with normal/abnormal results and descriptive statistics  -  ITT population</t>
  </si>
  <si>
    <t>ECG at baseline - ITT population</t>
  </si>
  <si>
    <t>Participants with a deviation during the treatment administration - ITT population</t>
  </si>
  <si>
    <t>Participants with at least one re-administration of the treatment - ITT population</t>
  </si>
  <si>
    <t>Sensitivity analysis: N (%) of death possibly related to r-HAT or to Fexinidazole up to the end of hospitalisation – stage 2 r-HAT participants in the ITT population</t>
  </si>
  <si>
    <t>N (%) of relapse and earliest time to detect the relapse - stage 1 and stage 2 r-HAT participants in the ITT population</t>
  </si>
  <si>
    <t>Confidence Intervals of relapse and earliest time to detect the relapse - stage 1 and stage 2 r-HAT participants in the ITT population</t>
  </si>
  <si>
    <t>Value of WBC in CSF at baseline and follow-up visits – ITT population</t>
  </si>
  <si>
    <t>Descriptive statistics of heart rate and change from baseline during treatment period and FU visits – ITT population</t>
  </si>
  <si>
    <t>Descriptive statistics of weight and change from baseline during treatment period and FU visits – ITT population</t>
  </si>
  <si>
    <t>Descriptive statistics of height and change from baseline during treatment period and FU visits – ITT population</t>
  </si>
  <si>
    <t>Descriptive statistics of bmi and change from baseline during treatment period and FU visits – ITT population</t>
  </si>
  <si>
    <t>Descriptive statistics of temperature and change from baseline during treatment period and FU visits – ITT population</t>
  </si>
  <si>
    <t>Descriptive statistics of respiratory rate and change from baseline during treatment period and FU visits – ITT population</t>
  </si>
  <si>
    <t>Descriptive statistics of SBP from baseline during treatment period and FU visits – ITT population</t>
  </si>
  <si>
    <t>Descriptive statistics of DBP from baseline during treatment period and FU visits – ITT population</t>
  </si>
  <si>
    <t xml:space="preserve"> Exposed (received at least one dose of Acoziborole) (ITT/safety population)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</si>
</sst>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4"/>
      <color theme="1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i/>
      <sz val="9"/>
      <color rgb="FF808080"/>
      <name val="Calibri"/>
      <family val="2"/>
      <scheme val="minor"/>
    </font>
    <font>
      <b/>
      <sz val="14"/>
      <color rgb="FF16365C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3"/>
      <color rgb="FF1F4E79"/>
      <name val="Calibri"/>
      <family val="2"/>
      <scheme val="minor"/>
    </font>
    <font>
      <b/>
      <sz val="11"/>
      <color rgb="FF2E75B6"/>
      <name val="Calibri"/>
      <family val="2"/>
      <scheme val="minor"/>
    </font>
    <font>
      <i/>
      <sz val="10"/>
      <color rgb="FFC65911"/>
      <name val="Calibri"/>
      <family val="2"/>
      <scheme val="minor"/>
    </font>
    <font>
      <sz val="10"/>
      <color rgb="FF595959"/>
      <name val="Consolas"/>
      <family val="2"/>
    </font>
    <font>
      <b/>
      <sz val="11"/>
      <color rgb="FF1F4E79"/>
      <name val="Calibri"/>
      <family val="2"/>
      <scheme val="minor"/>
    </font>
    <font>
      <b/>
      <u/>
      <sz val="11"/>
      <color rgb="FF1F4E79"/>
      <name val="Calibri"/>
      <family val="2"/>
      <scheme val="minor"/>
    </font>
    <font>
      <b/>
      <sz val="28"/>
      <color rgb="FFFFFFFF"/>
      <name val="Calibri"/>
      <family val="2"/>
      <scheme val="minor"/>
    </font>
    <font>
      <sz val="11"/>
      <color rgb="FF0563C1"/>
      <name val="Calibri"/>
      <family val="2"/>
      <scheme val="minor"/>
    </font>
    <font>
      <sz val="10"/>
      <color rgb="FF808080"/>
      <name val="Consolas"/>
      <family val="2"/>
    </font>
    <font>
      <b/>
      <sz val="28"/>
      <color rgb="FF1E4E79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i/>
      <sz val="13"/>
      <color rgb="FF595959"/>
      <name val="Calibri"/>
      <family val="2"/>
      <scheme val="minor"/>
    </font>
    <font>
      <b/>
      <i/>
      <sz val="11"/>
      <color rgb="FF595959"/>
      <name val="Calibri"/>
      <family val="2"/>
      <scheme val="minor"/>
    </font>
    <font>
      <i/>
      <sz val="10"/>
      <color rgb="FF595959"/>
      <name val="Consolas"/>
      <family val="2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4F8FC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rgb="FF1F4E79"/>
      </top>
      <bottom/>
      <diagonal/>
    </border>
    <border>
      <left/>
      <right style="medium">
        <color rgb="FF1F4E79"/>
      </right>
      <top/>
      <bottom/>
      <diagonal/>
    </border>
    <border>
      <left/>
      <right style="medium">
        <color rgb="FF1F4E79"/>
      </right>
      <top/>
      <bottom style="medium">
        <color rgb="FF1F4E79"/>
      </bottom>
      <diagonal/>
    </border>
    <border>
      <left style="thin">
        <color rgb="FFD9E1F2"/>
      </left>
      <right style="thin">
        <color rgb="FFD9E1F2"/>
      </right>
      <top style="medium">
        <color rgb="FF1F4E79"/>
      </top>
      <bottom style="thin">
        <color rgb="FFD9E1F2"/>
      </bottom>
      <diagonal/>
    </border>
    <border>
      <left style="medium">
        <color rgb="FF1F4E79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medium">
        <color rgb="FF1F4E79"/>
      </right>
      <top style="thin">
        <color rgb="FFD9E1F2"/>
      </top>
      <bottom style="thin">
        <color rgb="FFD9E1F2"/>
      </bottom>
      <diagonal/>
    </border>
    <border>
      <left style="medium">
        <color rgb="FF1F4E79"/>
      </left>
      <right style="thin">
        <color rgb="FFD9E1F2"/>
      </right>
      <top style="thin">
        <color rgb="FFD9E1F2"/>
      </top>
      <bottom style="medium">
        <color rgb="FF1F4E79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medium">
        <color rgb="FF1F4E79"/>
      </bottom>
      <diagonal/>
    </border>
    <border>
      <left style="thin">
        <color rgb="FFD9E1F2"/>
      </left>
      <right style="medium">
        <color rgb="FF1F4E79"/>
      </right>
      <top style="thin">
        <color rgb="FFD9E1F2"/>
      </top>
      <bottom style="medium">
        <color rgb="FF1F4E79"/>
      </bottom>
      <diagonal/>
    </border>
    <border>
      <left style="medium">
        <color rgb="FF1F4E79"/>
      </left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 style="medium">
        <color rgb="FF1F4E79"/>
      </right>
      <top/>
      <bottom style="thin">
        <color rgb="FFD9E1F2"/>
      </bottom>
      <diagonal/>
    </border>
    <border>
      <left style="medium">
        <color rgb="FF1F4E79"/>
      </left>
      <right style="thin">
        <color rgb="FFD9E1F2"/>
      </right>
      <top style="medium">
        <color rgb="FF1F4E79"/>
      </top>
      <bottom style="thick">
        <color rgb="FF1F4E79"/>
      </bottom>
      <diagonal/>
    </border>
    <border>
      <left style="thin">
        <color rgb="FFD9E1F2"/>
      </left>
      <right style="thin">
        <color rgb="FFD9E1F2"/>
      </right>
      <top style="medium">
        <color rgb="FF1F4E79"/>
      </top>
      <bottom style="thick">
        <color rgb="FF1F4E79"/>
      </bottom>
      <diagonal/>
    </border>
    <border>
      <left style="thin">
        <color rgb="FFD9E1F2"/>
      </left>
      <right style="medium">
        <color rgb="FF1F4E79"/>
      </right>
      <top style="medium">
        <color rgb="FF1F4E79"/>
      </top>
      <bottom style="thick">
        <color rgb="FF1F4E79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rgb="FFD9E1F2"/>
      </left>
      <right style="thin">
        <color rgb="FFD9E1F2"/>
      </right>
      <top style="medium">
        <color rgb="FF1F4E79"/>
      </top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 style="medium">
        <color rgb="FF1F4E79"/>
      </left>
      <right style="thin">
        <color rgb="FFD9E1F2"/>
      </right>
      <top/>
      <bottom style="medium">
        <color rgb="FF1F4E79"/>
      </bottom>
      <diagonal/>
    </border>
    <border>
      <left style="thin">
        <color rgb="FFD9E1F2"/>
      </left>
      <right style="thin">
        <color rgb="FFD9E1F2"/>
      </right>
      <top/>
      <bottom style="medium">
        <color rgb="FF1F4E79"/>
      </bottom>
      <diagonal/>
    </border>
    <border>
      <left style="thin">
        <color rgb="FFD9E1F2"/>
      </left>
      <right style="medium">
        <color rgb="FF1F4E79"/>
      </right>
      <top/>
      <bottom style="medium">
        <color rgb="FF1F4E79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/>
      <top style="thin">
        <color rgb="FFD9E1F2"/>
      </top>
      <bottom/>
      <diagonal/>
    </border>
    <border>
      <left/>
      <right style="thin">
        <color rgb="FFD9E1F2"/>
      </right>
      <top/>
      <bottom style="thick">
        <color rgb="FF1F4E79"/>
      </bottom>
      <diagonal/>
    </border>
    <border>
      <left style="thin">
        <color rgb="FFD9E1F2"/>
      </left>
      <right style="thin">
        <color rgb="FFD9E1F2"/>
      </right>
      <top/>
      <bottom style="thick">
        <color rgb="FF1F4E79"/>
      </bottom>
      <diagonal/>
    </border>
    <border>
      <left style="thin">
        <color rgb="FFD9E1F2"/>
      </left>
      <right/>
      <top/>
      <bottom style="thick">
        <color rgb="FF1F4E79"/>
      </bottom>
      <diagonal/>
    </border>
    <border>
      <left/>
      <right style="thin">
        <color rgb="FFD9E1F2"/>
      </right>
      <top style="medium">
        <color rgb="FF1F4E79"/>
      </top>
      <bottom style="thin">
        <color rgb="FFD9E1F2"/>
      </bottom>
      <diagonal/>
    </border>
    <border>
      <left style="thin">
        <color rgb="FFD9E1F2"/>
      </left>
      <right/>
      <top style="medium">
        <color rgb="FF1F4E79"/>
      </top>
      <bottom style="thin">
        <color rgb="FFD9E1F2"/>
      </bottom>
      <diagonal/>
    </border>
    <border>
      <left/>
      <right style="thin">
        <color rgb="FFD9E1F2"/>
      </right>
      <top/>
      <bottom/>
      <diagonal/>
    </border>
    <border>
      <left style="thin">
        <color rgb="FFD9E1F2"/>
      </left>
      <right/>
      <top/>
      <bottom/>
      <diagonal/>
    </border>
    <border>
      <left/>
      <right style="thin">
        <color rgb="FFD9E1F2"/>
      </right>
      <top style="thin">
        <color rgb="FF8FAADC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8FAADC"/>
      </top>
      <bottom style="thin">
        <color rgb="FFD9E1F2"/>
      </bottom>
      <diagonal/>
    </border>
    <border>
      <left style="thin">
        <color rgb="FFD9E1F2"/>
      </left>
      <right/>
      <top style="thin">
        <color rgb="FF8FAADC"/>
      </top>
      <bottom style="thin">
        <color rgb="FFD9E1F2"/>
      </bottom>
      <diagonal/>
    </border>
    <border>
      <left/>
      <right style="thin">
        <color rgb="FFD9E1F2"/>
      </right>
      <top style="thin">
        <color rgb="FF8FAADC"/>
      </top>
      <bottom/>
      <diagonal/>
    </border>
    <border>
      <left style="thin">
        <color rgb="FFD9E1F2"/>
      </left>
      <right style="thin">
        <color rgb="FFD9E1F2"/>
      </right>
      <top style="thin">
        <color rgb="FF8FAADC"/>
      </top>
      <bottom/>
      <diagonal/>
    </border>
    <border>
      <left style="thin">
        <color rgb="FFD9E1F2"/>
      </left>
      <right/>
      <top style="thin">
        <color rgb="FF8FAADC"/>
      </top>
      <bottom/>
      <diagonal/>
    </border>
    <border>
      <left/>
      <right style="thin">
        <color rgb="FFD9E1F2"/>
      </right>
      <top style="medium">
        <color rgb="FF1F4E79"/>
      </top>
      <bottom/>
      <diagonal/>
    </border>
    <border>
      <left style="thin">
        <color rgb="FFD9E1F2"/>
      </left>
      <right/>
      <top style="medium">
        <color rgb="FF1F4E79"/>
      </top>
      <bottom/>
      <diagonal/>
    </border>
    <border>
      <left style="thin">
        <color rgb="FFD9E1F2"/>
      </left>
      <right style="medium">
        <color rgb="FF1F4E79"/>
      </right>
      <top/>
      <bottom style="thick">
        <color rgb="FF1F4E79"/>
      </bottom>
      <diagonal/>
    </border>
    <border>
      <left/>
      <right style="medium">
        <color rgb="FF1F4E79"/>
      </right>
      <top style="medium">
        <color rgb="FF1F4E79"/>
      </top>
      <bottom style="thick">
        <color rgb="FF1F4E79"/>
      </bottom>
      <diagonal/>
    </border>
    <border>
      <left style="medium">
        <color rgb="FF1F4E79"/>
      </left>
      <right style="thin">
        <color rgb="FFD9E1F2"/>
      </right>
      <top/>
      <bottom style="thick">
        <color rgb="FF1F4E7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0" borderId="0" xfId="0" applyFont="1"/>
    <xf numFmtId="0" fontId="8" fillId="0" borderId="0" xfId="0" applyFont="1"/>
    <xf numFmtId="0" fontId="9" fillId="0" borderId="0" xfId="0" applyFont="1"/>
    <xf numFmtId="0" fontId="12" fillId="3" borderId="0" xfId="0" applyFont="1" applyFill="1"/>
    <xf numFmtId="0" fontId="1" fillId="3" borderId="0" xfId="0" applyFont="1" applyFill="1"/>
    <xf numFmtId="0" fontId="15" fillId="4" borderId="0" xfId="0" applyFont="1" applyFill="1" applyAlignment="1">
      <alignment horizontal="center"/>
    </xf>
    <xf numFmtId="0" fontId="1" fillId="3" borderId="6" xfId="0" applyFont="1" applyFill="1" applyBorder="1" applyAlignment="1">
      <alignment horizontal="left" vertical="center" wrapText="1"/>
    </xf>
    <xf numFmtId="0" fontId="18" fillId="3" borderId="6" xfId="0" applyFont="1" applyFill="1" applyBorder="1" applyAlignment="1">
      <alignment horizontal="left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18" fillId="5" borderId="6" xfId="0" applyFont="1" applyFill="1" applyBorder="1" applyAlignment="1">
      <alignment horizontal="left" vertical="center" wrapText="1"/>
    </xf>
    <xf numFmtId="0" fontId="19" fillId="5" borderId="6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8" fillId="3" borderId="12" xfId="0" applyFont="1" applyFill="1" applyBorder="1" applyAlignment="1">
      <alignment horizontal="left" vertical="center" wrapText="1"/>
    </xf>
    <xf numFmtId="0" fontId="19" fillId="3" borderId="12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18" fillId="3" borderId="17" xfId="0" applyFont="1" applyFill="1" applyBorder="1" applyAlignment="1">
      <alignment horizontal="left" vertical="center" wrapText="1"/>
    </xf>
    <xf numFmtId="0" fontId="19" fillId="3" borderId="17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8" fillId="5" borderId="4" xfId="0" applyFont="1" applyFill="1" applyBorder="1" applyAlignment="1">
      <alignment horizontal="left" vertical="center" wrapText="1"/>
    </xf>
    <xf numFmtId="0" fontId="19" fillId="5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left" vertical="center" wrapText="1"/>
    </xf>
    <xf numFmtId="0" fontId="18" fillId="5" borderId="12" xfId="0" applyFont="1" applyFill="1" applyBorder="1" applyAlignment="1">
      <alignment horizontal="left" vertical="center" wrapText="1"/>
    </xf>
    <xf numFmtId="0" fontId="19" fillId="5" borderId="12" xfId="0" applyFont="1" applyFill="1" applyBorder="1" applyAlignment="1">
      <alignment horizontal="left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8" fillId="3" borderId="4" xfId="0" applyFont="1" applyFill="1" applyBorder="1" applyAlignment="1">
      <alignment horizontal="left" vertical="center" wrapText="1"/>
    </xf>
    <xf numFmtId="0" fontId="19" fillId="3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8" fillId="3" borderId="18" xfId="0" applyFont="1" applyFill="1" applyBorder="1" applyAlignment="1">
      <alignment horizontal="left" vertical="center" wrapText="1"/>
    </xf>
    <xf numFmtId="0" fontId="19" fillId="3" borderId="18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left" vertical="center" wrapText="1"/>
    </xf>
    <xf numFmtId="0" fontId="18" fillId="5" borderId="19" xfId="0" applyFont="1" applyFill="1" applyBorder="1" applyAlignment="1">
      <alignment horizontal="left" vertical="center" wrapText="1"/>
    </xf>
    <xf numFmtId="0" fontId="19" fillId="5" borderId="19" xfId="0" applyFont="1" applyFill="1" applyBorder="1" applyAlignment="1">
      <alignment horizontal="left" vertical="center" wrapText="1"/>
    </xf>
    <xf numFmtId="0" fontId="1" fillId="5" borderId="19" xfId="0" applyFont="1" applyFill="1" applyBorder="1" applyAlignment="1">
      <alignment horizontal="center" vertical="center" wrapText="1"/>
    </xf>
    <xf numFmtId="0" fontId="20" fillId="5" borderId="19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17" xfId="0" applyFont="1" applyFill="1" applyBorder="1" applyAlignment="1">
      <alignment horizontal="left" vertical="center" wrapText="1"/>
    </xf>
    <xf numFmtId="0" fontId="1" fillId="5" borderId="17" xfId="0" applyFont="1" applyFill="1" applyBorder="1" applyAlignment="1">
      <alignment horizontal="left" vertical="center" wrapText="1"/>
    </xf>
    <xf numFmtId="0" fontId="18" fillId="5" borderId="17" xfId="0" applyFont="1" applyFill="1" applyBorder="1" applyAlignment="1">
      <alignment horizontal="left" vertical="center" wrapText="1"/>
    </xf>
    <xf numFmtId="0" fontId="19" fillId="5" borderId="17" xfId="0" applyFont="1" applyFill="1" applyBorder="1" applyAlignment="1">
      <alignment horizontal="left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20" fillId="5" borderId="1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left" vertical="center" wrapText="1"/>
    </xf>
    <xf numFmtId="0" fontId="17" fillId="5" borderId="12" xfId="0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left" vertical="center" wrapText="1"/>
    </xf>
    <xf numFmtId="0" fontId="18" fillId="3" borderId="19" xfId="0" applyFont="1" applyFill="1" applyBorder="1" applyAlignment="1">
      <alignment horizontal="left" vertical="center" wrapText="1"/>
    </xf>
    <xf numFmtId="0" fontId="19" fillId="3" borderId="19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6" fillId="5" borderId="25" xfId="0" applyFont="1" applyFill="1" applyBorder="1" applyAlignment="1">
      <alignment horizontal="left" vertical="center" wrapText="1"/>
    </xf>
    <xf numFmtId="0" fontId="1" fillId="5" borderId="25" xfId="0" applyFont="1" applyFill="1" applyBorder="1" applyAlignment="1">
      <alignment horizontal="left" vertical="center" wrapText="1"/>
    </xf>
    <xf numFmtId="0" fontId="1" fillId="3" borderId="25" xfId="0" applyFont="1" applyFill="1" applyBorder="1" applyAlignment="1">
      <alignment horizontal="left" vertical="center" wrapText="1"/>
    </xf>
    <xf numFmtId="0" fontId="16" fillId="3" borderId="27" xfId="0" applyFont="1" applyFill="1" applyBorder="1" applyAlignment="1">
      <alignment horizontal="left" vertical="center" wrapText="1"/>
    </xf>
    <xf numFmtId="0" fontId="17" fillId="3" borderId="19" xfId="0" applyFont="1" applyFill="1" applyBorder="1" applyAlignment="1">
      <alignment horizontal="left" vertical="center" wrapText="1"/>
    </xf>
    <xf numFmtId="0" fontId="16" fillId="3" borderId="23" xfId="0" applyFont="1" applyFill="1" applyBorder="1" applyAlignment="1">
      <alignment horizontal="left" vertical="center" wrapText="1"/>
    </xf>
    <xf numFmtId="0" fontId="15" fillId="4" borderId="29" xfId="0" applyFont="1" applyFill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16" fillId="5" borderId="32" xfId="0" applyFont="1" applyFill="1" applyBorder="1" applyAlignment="1">
      <alignment horizontal="left" vertical="center" wrapText="1"/>
    </xf>
    <xf numFmtId="0" fontId="16" fillId="5" borderId="27" xfId="0" applyFont="1" applyFill="1" applyBorder="1" applyAlignment="1">
      <alignment horizontal="left" vertical="center" wrapText="1"/>
    </xf>
    <xf numFmtId="0" fontId="16" fillId="3" borderId="32" xfId="0" applyFont="1" applyFill="1" applyBorder="1" applyAlignment="1">
      <alignment horizontal="left" vertical="center" wrapText="1"/>
    </xf>
    <xf numFmtId="0" fontId="16" fillId="3" borderId="34" xfId="0" applyFont="1" applyFill="1" applyBorder="1" applyAlignment="1">
      <alignment horizontal="left" vertical="center" wrapText="1"/>
    </xf>
    <xf numFmtId="0" fontId="16" fillId="5" borderId="23" xfId="0" applyFont="1" applyFill="1" applyBorder="1" applyAlignment="1">
      <alignment horizontal="left" vertical="center" wrapText="1"/>
    </xf>
    <xf numFmtId="0" fontId="17" fillId="5" borderId="19" xfId="0" applyFont="1" applyFill="1" applyBorder="1" applyAlignment="1">
      <alignment horizontal="left" vertical="center" wrapText="1"/>
    </xf>
    <xf numFmtId="0" fontId="1" fillId="5" borderId="34" xfId="0" applyFont="1" applyFill="1" applyBorder="1" applyAlignment="1">
      <alignment horizontal="left" vertical="center" wrapText="1"/>
    </xf>
    <xf numFmtId="0" fontId="1" fillId="5" borderId="36" xfId="0" applyFont="1" applyFill="1" applyBorder="1" applyAlignment="1">
      <alignment horizontal="left" vertical="center" wrapText="1"/>
    </xf>
    <xf numFmtId="0" fontId="17" fillId="5" borderId="37" xfId="0" applyFont="1" applyFill="1" applyBorder="1" applyAlignment="1">
      <alignment horizontal="left" vertical="center" wrapText="1"/>
    </xf>
    <xf numFmtId="0" fontId="18" fillId="5" borderId="37" xfId="0" applyFont="1" applyFill="1" applyBorder="1" applyAlignment="1">
      <alignment horizontal="left" vertical="center" wrapText="1"/>
    </xf>
    <xf numFmtId="0" fontId="19" fillId="5" borderId="37" xfId="0" applyFont="1" applyFill="1" applyBorder="1" applyAlignment="1">
      <alignment horizontal="left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20" fillId="5" borderId="37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left" vertical="center" wrapText="1"/>
    </xf>
    <xf numFmtId="0" fontId="16" fillId="5" borderId="36" xfId="0" applyFont="1" applyFill="1" applyBorder="1" applyAlignment="1">
      <alignment horizontal="left" vertical="center" wrapText="1"/>
    </xf>
    <xf numFmtId="0" fontId="16" fillId="5" borderId="39" xfId="0" applyFont="1" applyFill="1" applyBorder="1" applyAlignment="1">
      <alignment horizontal="left" vertical="center" wrapText="1"/>
    </xf>
    <xf numFmtId="0" fontId="17" fillId="5" borderId="40" xfId="0" applyFont="1" applyFill="1" applyBorder="1" applyAlignment="1">
      <alignment horizontal="left" vertical="center" wrapText="1"/>
    </xf>
    <xf numFmtId="0" fontId="18" fillId="5" borderId="40" xfId="0" applyFont="1" applyFill="1" applyBorder="1" applyAlignment="1">
      <alignment horizontal="left" vertical="center" wrapText="1"/>
    </xf>
    <xf numFmtId="0" fontId="19" fillId="5" borderId="40" xfId="0" applyFont="1" applyFill="1" applyBorder="1" applyAlignment="1">
      <alignment horizontal="left" vertical="center" wrapText="1"/>
    </xf>
    <xf numFmtId="0" fontId="1" fillId="5" borderId="40" xfId="0" applyFont="1" applyFill="1" applyBorder="1" applyAlignment="1">
      <alignment horizontal="center" vertical="center" wrapText="1"/>
    </xf>
    <xf numFmtId="0" fontId="20" fillId="5" borderId="40" xfId="0" applyFont="1" applyFill="1" applyBorder="1" applyAlignment="1">
      <alignment horizontal="center" vertical="center" wrapText="1"/>
    </xf>
    <xf numFmtId="0" fontId="1" fillId="5" borderId="40" xfId="0" applyFont="1" applyFill="1" applyBorder="1" applyAlignment="1">
      <alignment horizontal="left" vertical="center" wrapText="1"/>
    </xf>
    <xf numFmtId="0" fontId="1" fillId="5" borderId="27" xfId="0" applyFont="1" applyFill="1" applyBorder="1" applyAlignment="1">
      <alignment horizontal="left" vertical="center" wrapText="1"/>
    </xf>
    <xf numFmtId="0" fontId="16" fillId="5" borderId="34" xfId="0" applyFont="1" applyFill="1" applyBorder="1" applyAlignment="1">
      <alignment horizontal="left" vertical="center" wrapText="1"/>
    </xf>
    <xf numFmtId="0" fontId="16" fillId="3" borderId="42" xfId="0" applyFont="1" applyFill="1" applyBorder="1" applyAlignment="1">
      <alignment horizontal="left" vertical="center" wrapText="1"/>
    </xf>
    <xf numFmtId="0" fontId="16" fillId="3" borderId="36" xfId="0" applyFont="1" applyFill="1" applyBorder="1" applyAlignment="1">
      <alignment horizontal="left" vertical="center" wrapText="1"/>
    </xf>
    <xf numFmtId="0" fontId="17" fillId="3" borderId="37" xfId="0" applyFont="1" applyFill="1" applyBorder="1" applyAlignment="1">
      <alignment horizontal="left" vertical="center" wrapText="1"/>
    </xf>
    <xf numFmtId="0" fontId="18" fillId="3" borderId="37" xfId="0" applyFont="1" applyFill="1" applyBorder="1" applyAlignment="1">
      <alignment horizontal="left" vertical="center" wrapText="1"/>
    </xf>
    <xf numFmtId="0" fontId="19" fillId="3" borderId="37" xfId="0" applyFont="1" applyFill="1" applyBorder="1" applyAlignment="1">
      <alignment horizontal="left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20" fillId="3" borderId="37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left" vertical="center" wrapText="1"/>
    </xf>
    <xf numFmtId="0" fontId="16" fillId="3" borderId="39" xfId="0" applyFont="1" applyFill="1" applyBorder="1" applyAlignment="1">
      <alignment horizontal="left" vertical="center" wrapText="1"/>
    </xf>
    <xf numFmtId="0" fontId="17" fillId="3" borderId="40" xfId="0" applyFont="1" applyFill="1" applyBorder="1" applyAlignment="1">
      <alignment horizontal="left" vertical="center" wrapText="1"/>
    </xf>
    <xf numFmtId="0" fontId="18" fillId="3" borderId="40" xfId="0" applyFont="1" applyFill="1" applyBorder="1" applyAlignment="1">
      <alignment horizontal="left" vertical="center" wrapText="1"/>
    </xf>
    <xf numFmtId="0" fontId="19" fillId="3" borderId="40" xfId="0" applyFont="1" applyFill="1" applyBorder="1" applyAlignment="1">
      <alignment horizontal="left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20" fillId="3" borderId="4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left" vertical="center" wrapText="1"/>
    </xf>
    <xf numFmtId="0" fontId="1" fillId="3" borderId="27" xfId="0" applyFont="1" applyFill="1" applyBorder="1" applyAlignment="1">
      <alignment horizontal="left" vertical="center" wrapText="1"/>
    </xf>
    <xf numFmtId="0" fontId="1" fillId="3" borderId="23" xfId="0" applyFont="1" applyFill="1" applyBorder="1" applyAlignment="1">
      <alignment horizontal="left" vertical="center" wrapText="1"/>
    </xf>
    <xf numFmtId="0" fontId="1" fillId="3" borderId="24" xfId="0" applyFont="1" applyFill="1" applyBorder="1" applyAlignment="1">
      <alignment horizontal="left" vertical="center" wrapText="1"/>
    </xf>
    <xf numFmtId="0" fontId="1" fillId="3" borderId="26" xfId="0" applyFont="1" applyFill="1" applyBorder="1" applyAlignment="1">
      <alignment horizontal="left" vertical="center" wrapText="1"/>
    </xf>
    <xf numFmtId="0" fontId="1" fillId="3" borderId="28" xfId="0" applyFont="1" applyFill="1" applyBorder="1" applyAlignment="1">
      <alignment horizontal="left" vertical="center" wrapText="1"/>
    </xf>
    <xf numFmtId="0" fontId="1" fillId="5" borderId="33" xfId="0" applyFont="1" applyFill="1" applyBorder="1" applyAlignment="1">
      <alignment horizontal="left" vertical="center" wrapText="1"/>
    </xf>
    <xf numFmtId="0" fontId="1" fillId="5" borderId="35" xfId="0" applyFont="1" applyFill="1" applyBorder="1" applyAlignment="1">
      <alignment horizontal="left" vertical="center" wrapText="1"/>
    </xf>
    <xf numFmtId="0" fontId="1" fillId="5" borderId="38" xfId="0" applyFont="1" applyFill="1" applyBorder="1" applyAlignment="1">
      <alignment horizontal="left" vertical="center" wrapText="1"/>
    </xf>
    <xf numFmtId="0" fontId="1" fillId="5" borderId="41" xfId="0" applyFont="1" applyFill="1" applyBorder="1" applyAlignment="1">
      <alignment horizontal="left" vertical="center" wrapText="1"/>
    </xf>
    <xf numFmtId="0" fontId="1" fillId="5" borderId="24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left" vertical="center" wrapText="1"/>
    </xf>
    <xf numFmtId="0" fontId="1" fillId="5" borderId="28" xfId="0" applyFont="1" applyFill="1" applyBorder="1" applyAlignment="1">
      <alignment horizontal="left" vertical="center" wrapText="1"/>
    </xf>
    <xf numFmtId="0" fontId="1" fillId="3" borderId="33" xfId="0" applyFont="1" applyFill="1" applyBorder="1" applyAlignment="1">
      <alignment horizontal="left" vertical="center" wrapText="1"/>
    </xf>
    <xf numFmtId="0" fontId="1" fillId="3" borderId="35" xfId="0" applyFont="1" applyFill="1" applyBorder="1" applyAlignment="1">
      <alignment horizontal="left" vertical="center" wrapText="1"/>
    </xf>
    <xf numFmtId="0" fontId="1" fillId="3" borderId="43" xfId="0" applyFont="1" applyFill="1" applyBorder="1" applyAlignment="1">
      <alignment horizontal="left" vertical="center" wrapText="1"/>
    </xf>
    <xf numFmtId="0" fontId="1" fillId="3" borderId="41" xfId="0" applyFont="1" applyFill="1" applyBorder="1" applyAlignment="1">
      <alignment horizontal="left" vertical="center" wrapText="1"/>
    </xf>
    <xf numFmtId="0" fontId="1" fillId="3" borderId="38" xfId="0" applyFont="1" applyFill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5" fillId="4" borderId="45" xfId="0" applyFont="1" applyFill="1" applyBorder="1" applyAlignment="1">
      <alignment horizontal="center" vertical="center"/>
    </xf>
    <xf numFmtId="0" fontId="5" fillId="0" borderId="2" xfId="1" applyBorder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3" fillId="3" borderId="0" xfId="0" applyFont="1" applyFill="1"/>
    <xf numFmtId="0" fontId="1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1" fillId="3" borderId="0" xfId="1" applyFont="1" applyFill="1" applyAlignment="1">
      <alignment horizontal="left" vertical="center"/>
    </xf>
    <xf numFmtId="0" fontId="7" fillId="3" borderId="0" xfId="1" applyFont="1" applyFill="1" applyAlignment="1">
      <alignment horizontal="left" vertical="center"/>
    </xf>
    <xf numFmtId="0" fontId="24" fillId="3" borderId="0" xfId="0" applyFont="1" applyFill="1" applyAlignment="1">
      <alignment horizontal="left" vertical="center"/>
    </xf>
    <xf numFmtId="0" fontId="23" fillId="3" borderId="5" xfId="1" applyFont="1" applyFill="1" applyBorder="1" applyAlignment="1">
      <alignment horizontal="left" vertical="center" wrapText="1"/>
    </xf>
    <xf numFmtId="0" fontId="21" fillId="3" borderId="7" xfId="1" applyFont="1" applyFill="1" applyBorder="1" applyAlignment="1">
      <alignment horizontal="center" vertical="center"/>
    </xf>
    <xf numFmtId="0" fontId="23" fillId="5" borderId="5" xfId="1" applyFont="1" applyFill="1" applyBorder="1" applyAlignment="1">
      <alignment horizontal="left" vertical="center" wrapText="1"/>
    </xf>
    <xf numFmtId="0" fontId="21" fillId="5" borderId="7" xfId="1" applyFont="1" applyFill="1" applyBorder="1" applyAlignment="1">
      <alignment horizontal="center" vertical="center"/>
    </xf>
    <xf numFmtId="0" fontId="20" fillId="3" borderId="7" xfId="1" applyFont="1" applyFill="1" applyBorder="1" applyAlignment="1">
      <alignment horizontal="center" vertical="center"/>
    </xf>
    <xf numFmtId="0" fontId="20" fillId="5" borderId="7" xfId="1" applyFont="1" applyFill="1" applyBorder="1" applyAlignment="1">
      <alignment horizontal="center" vertical="center"/>
    </xf>
    <xf numFmtId="0" fontId="23" fillId="3" borderId="8" xfId="1" applyFont="1" applyFill="1" applyBorder="1" applyAlignment="1">
      <alignment horizontal="left" vertical="center" wrapText="1"/>
    </xf>
    <xf numFmtId="0" fontId="20" fillId="3" borderId="10" xfId="1" applyFont="1" applyFill="1" applyBorder="1" applyAlignment="1">
      <alignment horizontal="center" vertical="center"/>
    </xf>
    <xf numFmtId="0" fontId="23" fillId="3" borderId="11" xfId="1" applyFont="1" applyFill="1" applyBorder="1" applyAlignment="1">
      <alignment horizontal="left" vertical="center" wrapText="1"/>
    </xf>
    <xf numFmtId="0" fontId="21" fillId="3" borderId="13" xfId="1" applyFont="1" applyFill="1" applyBorder="1" applyAlignment="1">
      <alignment horizontal="center" vertical="center"/>
    </xf>
    <xf numFmtId="0" fontId="15" fillId="4" borderId="46" xfId="0" applyFont="1" applyFill="1" applyBorder="1" applyAlignment="1">
      <alignment horizontal="center" vertical="center"/>
    </xf>
    <xf numFmtId="0" fontId="15" fillId="4" borderId="44" xfId="1" applyFont="1" applyFill="1" applyBorder="1" applyAlignment="1">
      <alignment horizontal="center" vertical="center"/>
    </xf>
    <xf numFmtId="0" fontId="4" fillId="3" borderId="0" xfId="0" applyFont="1" applyFill="1"/>
    <xf numFmtId="0" fontId="11" fillId="3" borderId="0" xfId="1" applyFont="1" applyFill="1" applyBorder="1" applyAlignment="1">
      <alignment horizontal="left" vertical="center"/>
    </xf>
    <xf numFmtId="0" fontId="22" fillId="4" borderId="0" xfId="0" applyFont="1" applyFill="1" applyAlignment="1">
      <alignment horizontal="left" vertical="center"/>
    </xf>
    <xf numFmtId="0" fontId="25" fillId="4" borderId="0" xfId="0" applyFont="1" applyFill="1" applyAlignment="1">
      <alignment horizontal="left" vertical="center"/>
    </xf>
    <xf numFmtId="0" fontId="27" fillId="3" borderId="23" xfId="0" applyFont="1" applyFill="1" applyBorder="1" applyAlignment="1">
      <alignment horizontal="left" vertical="center" wrapText="1"/>
    </xf>
    <xf numFmtId="0" fontId="28" fillId="3" borderId="12" xfId="0" applyFont="1" applyFill="1" applyBorder="1" applyAlignment="1">
      <alignment horizontal="left" vertical="center" wrapText="1"/>
    </xf>
    <xf numFmtId="0" fontId="26" fillId="3" borderId="12" xfId="0" applyFont="1" applyFill="1" applyBorder="1" applyAlignment="1">
      <alignment horizontal="left" vertical="center" wrapText="1"/>
    </xf>
    <xf numFmtId="0" fontId="29" fillId="3" borderId="12" xfId="0" applyFont="1" applyFill="1" applyBorder="1" applyAlignment="1">
      <alignment horizontal="left" vertical="center" wrapText="1"/>
    </xf>
    <xf numFmtId="0" fontId="30" fillId="3" borderId="12" xfId="0" applyFont="1" applyFill="1" applyBorder="1" applyAlignment="1">
      <alignment horizontal="center" vertical="center" wrapText="1"/>
    </xf>
    <xf numFmtId="0" fontId="28" fillId="3" borderId="12" xfId="0" applyFont="1" applyFill="1" applyBorder="1" applyAlignment="1">
      <alignment horizontal="center" vertical="center" wrapText="1"/>
    </xf>
    <xf numFmtId="0" fontId="30" fillId="3" borderId="12" xfId="0" applyFont="1" applyFill="1" applyBorder="1" applyAlignment="1">
      <alignment horizontal="left" vertical="center" wrapText="1"/>
    </xf>
    <xf numFmtId="0" fontId="30" fillId="3" borderId="24" xfId="0" applyFont="1" applyFill="1" applyBorder="1" applyAlignment="1">
      <alignment horizontal="left" vertical="center" wrapText="1"/>
    </xf>
    <xf numFmtId="0" fontId="28" fillId="3" borderId="2" xfId="0" applyFont="1" applyFill="1" applyBorder="1" applyAlignment="1">
      <alignment horizontal="center" vertical="center"/>
    </xf>
    <xf numFmtId="0" fontId="27" fillId="3" borderId="25" xfId="0" applyFont="1" applyFill="1" applyBorder="1" applyAlignment="1">
      <alignment horizontal="left" vertical="center" wrapText="1"/>
    </xf>
    <xf numFmtId="0" fontId="28" fillId="3" borderId="6" xfId="0" applyFont="1" applyFill="1" applyBorder="1" applyAlignment="1">
      <alignment horizontal="left" vertical="center" wrapText="1"/>
    </xf>
    <xf numFmtId="0" fontId="26" fillId="3" borderId="6" xfId="0" applyFont="1" applyFill="1" applyBorder="1" applyAlignment="1">
      <alignment horizontal="left" vertical="center" wrapText="1"/>
    </xf>
    <xf numFmtId="0" fontId="29" fillId="3" borderId="6" xfId="0" applyFont="1" applyFill="1" applyBorder="1" applyAlignment="1">
      <alignment horizontal="left" vertical="center" wrapText="1"/>
    </xf>
    <xf numFmtId="0" fontId="30" fillId="3" borderId="6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left" vertical="center" wrapText="1"/>
    </xf>
    <xf numFmtId="0" fontId="30" fillId="3" borderId="26" xfId="0" applyFont="1" applyFill="1" applyBorder="1" applyAlignment="1">
      <alignment horizontal="left" vertical="center" wrapText="1"/>
    </xf>
    <xf numFmtId="0" fontId="30" fillId="3" borderId="25" xfId="0" applyFont="1" applyFill="1" applyBorder="1" applyAlignment="1">
      <alignment horizontal="left" vertical="center" wrapText="1"/>
    </xf>
    <xf numFmtId="0" fontId="30" fillId="3" borderId="27" xfId="0" applyFont="1" applyFill="1" applyBorder="1" applyAlignment="1">
      <alignment horizontal="left" vertical="center" wrapText="1"/>
    </xf>
    <xf numFmtId="0" fontId="30" fillId="3" borderId="19" xfId="0" applyFont="1" applyFill="1" applyBorder="1" applyAlignment="1">
      <alignment horizontal="left" vertical="center" wrapText="1"/>
    </xf>
    <xf numFmtId="0" fontId="26" fillId="3" borderId="19" xfId="0" applyFont="1" applyFill="1" applyBorder="1" applyAlignment="1">
      <alignment horizontal="left" vertical="center" wrapText="1"/>
    </xf>
    <xf numFmtId="0" fontId="29" fillId="3" borderId="19" xfId="0" applyFont="1" applyFill="1" applyBorder="1" applyAlignment="1">
      <alignment horizontal="left" vertical="center" wrapText="1"/>
    </xf>
    <xf numFmtId="0" fontId="30" fillId="3" borderId="19" xfId="0" applyFont="1" applyFill="1" applyBorder="1" applyAlignment="1">
      <alignment horizontal="center" vertical="center" wrapText="1"/>
    </xf>
    <xf numFmtId="0" fontId="28" fillId="3" borderId="19" xfId="0" applyFont="1" applyFill="1" applyBorder="1" applyAlignment="1">
      <alignment horizontal="center" vertical="center" wrapText="1"/>
    </xf>
    <xf numFmtId="0" fontId="30" fillId="3" borderId="28" xfId="0" applyFont="1" applyFill="1" applyBorder="1" applyAlignment="1">
      <alignment horizontal="left" vertical="center" wrapText="1"/>
    </xf>
    <xf numFmtId="0" fontId="29" fillId="5" borderId="0" xfId="0" applyFont="1" applyFill="1" applyAlignment="1">
      <alignment horizontal="left" vertical="center"/>
    </xf>
    <xf numFmtId="0" fontId="30" fillId="5" borderId="5" xfId="1" applyFont="1" applyFill="1" applyBorder="1" applyAlignment="1">
      <alignment horizontal="left" vertical="center" wrapText="1"/>
    </xf>
    <xf numFmtId="0" fontId="28" fillId="5" borderId="7" xfId="1" applyFont="1" applyFill="1" applyBorder="1" applyAlignment="1">
      <alignment horizontal="center" vertical="center"/>
    </xf>
    <xf numFmtId="0" fontId="29" fillId="3" borderId="0" xfId="0" applyFont="1" applyFill="1" applyAlignment="1">
      <alignment horizontal="left" vertical="center"/>
    </xf>
    <xf numFmtId="0" fontId="30" fillId="3" borderId="5" xfId="1" applyFont="1" applyFill="1" applyBorder="1" applyAlignment="1">
      <alignment horizontal="left" vertical="center" wrapText="1"/>
    </xf>
    <xf numFmtId="0" fontId="28" fillId="3" borderId="7" xfId="1" applyFont="1" applyFill="1" applyBorder="1" applyAlignment="1">
      <alignment horizontal="center" vertical="center"/>
    </xf>
    <xf numFmtId="0" fontId="12" fillId="3" borderId="6" xfId="0" applyFont="1" applyFill="1" applyBorder="1"/>
    <xf numFmtId="0" fontId="12" fillId="3" borderId="9" xfId="0" applyFont="1" applyFill="1" applyBorder="1"/>
    <xf numFmtId="0" fontId="12" fillId="3" borderId="5" xfId="0" applyFont="1" applyFill="1" applyBorder="1"/>
    <xf numFmtId="0" fontId="12" fillId="3" borderId="8" xfId="0" applyFont="1" applyFill="1" applyBorder="1"/>
    <xf numFmtId="0" fontId="12" fillId="3" borderId="7" xfId="0" applyFont="1" applyFill="1" applyBorder="1"/>
    <xf numFmtId="0" fontId="12" fillId="3" borderId="10" xfId="0" applyFont="1" applyFill="1" applyBorder="1"/>
    <xf numFmtId="0" fontId="12" fillId="3" borderId="11" xfId="0" applyFont="1" applyFill="1" applyBorder="1"/>
    <xf numFmtId="0" fontId="12" fillId="3" borderId="12" xfId="0" applyFont="1" applyFill="1" applyBorder="1"/>
    <xf numFmtId="0" fontId="12" fillId="3" borderId="13" xfId="0" applyFont="1" applyFill="1" applyBorder="1"/>
    <xf numFmtId="0" fontId="14" fillId="2" borderId="14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2" fillId="3" borderId="20" xfId="0" applyFont="1" applyFill="1" applyBorder="1"/>
    <xf numFmtId="0" fontId="12" fillId="3" borderId="21" xfId="0" applyFont="1" applyFill="1" applyBorder="1"/>
    <xf numFmtId="0" fontId="12" fillId="3" borderId="22" xfId="0" applyFont="1" applyFill="1" applyBorder="1"/>
    <xf numFmtId="0" fontId="12" fillId="0" borderId="0" xfId="0" applyFont="1"/>
    <xf numFmtId="0" fontId="12" fillId="3" borderId="1" xfId="0" applyFont="1" applyFill="1" applyBorder="1"/>
  </cellXfs>
  <cellStyles count="2">
    <cellStyle name="Hyperlink" xfId="1" builtinId="8"/>
    <cellStyle name="Normal" xfId="0" builtinId="0"/>
  </cellStyles>
  <dxfs count="33">
    <dxf>
      <border diagonalUp="0" diagonalDown="0">
        <left style="thin">
          <color rgb="FFD9E1F2"/>
        </left>
        <right style="thin">
          <color rgb="FFD9E1F2"/>
        </right>
        <top/>
        <bottom/>
        <vertical style="thin">
          <color rgb="FFD9E1F2"/>
        </vertical>
        <horizontal style="thin">
          <color rgb="FFD9E1F2"/>
        </horizontal>
      </border>
    </dxf>
    <dxf>
      <font>
        <b/>
        <sz val="11"/>
        <color rgb="FF1F4E79"/>
        <name val="Calibri"/>
      </font>
      <alignment horizontal="center" vertical="center"/>
      <border diagonalUp="0" diagonalDown="0">
        <left style="thin">
          <color rgb="FFD9E1F2"/>
        </left>
        <right style="medium">
          <color rgb="FF1F4E7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ashed">
          <color theme="3" tint="0.39994506668294322"/>
        </left>
        <right style="dashed">
          <color theme="3" tint="0.39994506668294322"/>
        </right>
        <top/>
        <bottom/>
      </border>
    </dxf>
    <dxf>
      <font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 style="thin">
          <color rgb="FFD9E1F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dashed">
          <color theme="3" tint="0.39994506668294322"/>
        </left>
        <right style="dashed">
          <color theme="3" tint="0.39994506668294322"/>
        </right>
        <top/>
        <bottom/>
      </border>
    </dxf>
    <dxf>
      <font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dashed">
          <color theme="3" tint="0.39994506668294322"/>
        </left>
        <right style="dashed">
          <color theme="3" tint="0.39994506668294322"/>
        </right>
        <top/>
        <bottom/>
      </border>
    </dxf>
    <dxf>
      <font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dashed">
          <color theme="3" tint="0.39994506668294322"/>
        </left>
        <right style="dashed">
          <color theme="3" tint="0.39994506668294322"/>
        </right>
        <top/>
        <bottom/>
      </border>
    </dxf>
    <dxf>
      <font>
        <b val="0"/>
        <i val="0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ashed">
          <color theme="3" tint="0.39994506668294322"/>
        </left>
        <right style="dashed">
          <color theme="3" tint="0.39994506668294322"/>
        </right>
        <top/>
        <bottom/>
      </border>
    </dxf>
    <dxf>
      <font>
        <b/>
        <sz val="11"/>
        <color rgb="FF1F4E79"/>
        <name val="Calibri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ashed">
          <color theme="3" tint="0.39994506668294322"/>
        </left>
        <right style="dashed">
          <color theme="3" tint="0.39994506668294322"/>
        </right>
        <top/>
        <bottom/>
      </border>
    </dxf>
    <dxf>
      <font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dashed">
          <color theme="3" tint="0.39994506668294322"/>
        </left>
        <right style="dashed">
          <color theme="3" tint="0.39994506668294322"/>
        </right>
        <top/>
        <bottom/>
      </border>
    </dxf>
    <dxf>
      <font>
        <sz val="10"/>
        <color rgb="FF595959"/>
        <name val="Consolas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dashed">
          <color theme="3" tint="0.39994506668294322"/>
        </left>
        <right style="dashed">
          <color theme="3" tint="0.39994506668294322"/>
        </right>
        <top/>
        <bottom/>
      </border>
    </dxf>
    <dxf>
      <font>
        <i/>
        <sz val="10"/>
        <color rgb="FFC65911"/>
        <name val="Calibri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dashed">
          <color theme="3" tint="0.39994506668294322"/>
        </left>
        <right style="dashed">
          <color theme="3" tint="0.39994506668294322"/>
        </right>
        <top/>
        <bottom/>
      </border>
    </dxf>
    <dxf>
      <font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dashed">
          <color theme="3" tint="0.39994506668294322"/>
        </left>
        <right style="dashed">
          <color theme="3" tint="0.39994506668294322"/>
        </right>
        <top/>
        <bottom/>
      </border>
    </dxf>
    <dxf>
      <font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/>
        <right style="thin">
          <color rgb="FFD9E1F2"/>
        </right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border diagonalUp="0" diagonalDown="0">
        <left style="thin">
          <color rgb="FFD9E1F2"/>
        </left>
        <right style="thin">
          <color rgb="FFD9E1F2"/>
        </right>
        <top/>
        <bottom/>
        <vertical style="thin">
          <color rgb="FFD9E1F2"/>
        </vertical>
        <horizontal style="thin">
          <color rgb="FFD9E1F2"/>
        </horizontal>
      </border>
    </dxf>
    <dxf>
      <border diagonalUp="0" diagonalDown="0">
        <left style="medium">
          <color rgb="FF1F4E79"/>
        </left>
        <right style="medium">
          <color rgb="FF1F4E79"/>
        </right>
        <top style="medium">
          <color rgb="FF1F4E79"/>
        </top>
        <bottom style="medium">
          <color rgb="FF1F4E79"/>
        </bottom>
      </border>
    </dxf>
    <dxf>
      <font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vertical="center" wrapText="1"/>
    </dxf>
    <dxf>
      <border>
        <bottom style="thick">
          <color rgb="FF1F4E79"/>
        </bottom>
      </border>
    </dxf>
    <dxf>
      <font>
        <b/>
        <sz val="12"/>
        <color rgb="FFFFFFFF"/>
        <name val="Calibri"/>
      </font>
      <fill>
        <patternFill patternType="solid">
          <fgColor indexed="64"/>
          <bgColor rgb="FF1F4E79"/>
        </patternFill>
      </fill>
      <alignment horizontal="center" vertical="center"/>
      <border diagonalUp="0" diagonalDown="0">
        <left style="thin">
          <color rgb="FFD9E1F2"/>
        </left>
        <right style="thin">
          <color rgb="FFD9E1F2"/>
        </right>
        <top/>
        <bottom/>
        <vertical style="thin">
          <color rgb="FFD9E1F2"/>
        </vertical>
        <horizontal style="thin">
          <color rgb="FFD9E1F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border outline="0">
        <top style="medium">
          <color theme="9" tint="-0.49998474074526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border outline="0">
        <bottom style="medium">
          <color theme="9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rgb="FFFFFFFF"/>
        <name val="Calibri"/>
        <scheme val="minor"/>
      </font>
      <fill>
        <patternFill patternType="solid">
          <fgColor indexed="64"/>
          <bgColor rgb="FF1F4E79"/>
        </patternFill>
      </fill>
      <alignment horizontal="left" vertical="center"/>
    </dxf>
  </dxfs>
  <tableStyles count="0" defaultTableStyle="TableStyleMedium2" defaultPivotStyle="PivotStyleLight16"/>
  <colors>
    <mruColors>
      <color rgb="FF1E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84C58F-A82A-DB42-8B5A-1DD38F4012EA}" name="Table2" displayName="Table2" ref="G2:H127" totalsRowShown="0" headerRowDxfId="32" dataDxfId="30" headerRowBorderDxfId="31" tableBorderDxfId="29">
  <autoFilter ref="G2:H127" xr:uid="{5A84C58F-A82A-DB42-8B5A-1DD38F4012EA}"/>
  <tableColumns count="2">
    <tableColumn id="1" xr3:uid="{BBBD8F70-D03E-AE49-A65C-7724037D1E74}" name="Tables and Figures" dataDxfId="28"/>
    <tableColumn id="2" xr3:uid="{44E1FC8B-61CA-CB44-A6E2-A60EAE639F51}" name="Sheet" dataDxfId="2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0551B4-2748-DC46-849F-76F5D24C1EBB}" name="Labels" displayName="Labels" ref="A1:K203" headerRowDxfId="26" dataDxfId="24" totalsRowDxfId="22" headerRowBorderDxfId="25" tableBorderDxfId="23">
  <autoFilter ref="A1:K203" xr:uid="{810551B4-2748-DC46-849F-76F5D24C1EBB}"/>
  <tableColumns count="11">
    <tableColumn id="1" xr3:uid="{3F44CDAC-0579-8148-AE67-BA53BDCA5BE5}" name="Section" totalsRowLabel="Total" dataDxfId="21" totalsRowDxfId="20"/>
    <tableColumn id="2" xr3:uid="{0BD07E7A-7C16-DF4E-906F-DC3C7876F620}" name="Subsection" dataDxfId="19" totalsRowDxfId="18"/>
    <tableColumn id="3" xr3:uid="{B9D25FCF-7344-3047-9F8C-CB756AE05228}" name="DisplayMode" dataDxfId="17" totalsRowDxfId="16"/>
    <tableColumn id="4" xr3:uid="{9632F2A1-7D9D-E142-A2D9-E3740D8481A9}" name="InputID" dataDxfId="15" totalsRowDxfId="14"/>
    <tableColumn id="5" xr3:uid="{597C55F5-5ABE-EC4D-9D06-8AE544E7FE33}" name="Include" dataDxfId="13" totalsRowDxfId="12"/>
    <tableColumn id="6" xr3:uid="{7A78341F-B533-0646-9B64-0C2C1B6B5DD2}" name="InputNumber" dataDxfId="11" totalsRowDxfId="10">
      <calculatedColumnFormula>ROW() - 1</calculatedColumnFormula>
    </tableColumn>
    <tableColumn id="7" xr3:uid="{632DDBC9-5B94-914C-8044-CE891E7A2D7E}" name="Caption" dataDxfId="9" totalsRowDxfId="8"/>
    <tableColumn id="8" xr3:uid="{4934AF9B-DF45-B345-BF92-4B6EDB0DF775}" name="Figure" dataDxfId="7" totalsRowDxfId="6"/>
    <tableColumn id="9" xr3:uid="{17705D63-79BC-BA4C-B5E7-2BC978D769DC}" name="FootNote" dataDxfId="5" totalsRowDxfId="4"/>
    <tableColumn id="10" xr3:uid="{5729C1D0-0264-2B43-99CC-9C02D51AC25A}" name="Can You modify labels?" totalsRowFunction="count" dataDxfId="3" totalsRowDxfId="2"/>
    <tableColumn id="11" xr3:uid="{BC31EA96-4DE4-4A4B-9D74-59FE0BE3C777}" name="Link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042CB5-C83E-F64A-A329-91F608026FB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9212131-fd99-41d4-97dd-db6ace0e0bd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I200"/>
  <sheetViews>
    <sheetView showGridLines="0" topLeftCell="E1" zoomScale="125" zoomScaleNormal="125" workbookViewId="0">
      <pane ySplit="4" topLeftCell="A5" activePane="bottomLeft" state="frozen"/>
      <selection activeCell="G189" sqref="G189"/>
      <selection pane="bottomLeft" activeCell="G15" sqref="G15"/>
    </sheetView>
  </sheetViews>
  <sheetFormatPr baseColWidth="10" defaultColWidth="11.5" defaultRowHeight="15" x14ac:dyDescent="0.2"/>
  <cols>
    <col min="5" max="5" width="9.5" customWidth="1"/>
    <col min="6" max="6" width="23.33203125" customWidth="1"/>
    <col min="7" max="7" width="91.6640625" customWidth="1"/>
    <col min="8" max="8" width="21.83203125" bestFit="1" customWidth="1"/>
    <col min="11" max="11" width="57.33203125" customWidth="1"/>
  </cols>
  <sheetData>
    <row r="1" spans="1:9" s="3" customFormat="1" ht="27" customHeight="1" x14ac:dyDescent="0.2">
      <c r="A1" s="150"/>
      <c r="B1" s="151"/>
      <c r="C1" s="151"/>
      <c r="D1" s="151"/>
      <c r="E1" s="151"/>
      <c r="F1" s="151"/>
      <c r="G1" s="151"/>
      <c r="H1" s="151"/>
      <c r="I1" s="151"/>
    </row>
    <row r="2" spans="1:9" ht="44" customHeight="1" x14ac:dyDescent="0.2">
      <c r="A2" s="147"/>
      <c r="B2" s="147"/>
      <c r="C2" s="147"/>
      <c r="D2" s="147"/>
      <c r="E2" s="147"/>
      <c r="F2" s="14"/>
      <c r="G2" s="169" t="s">
        <v>0</v>
      </c>
      <c r="H2" s="170" t="s">
        <v>713</v>
      </c>
      <c r="I2" s="147"/>
    </row>
    <row r="3" spans="1:9" ht="10" customHeight="1" x14ac:dyDescent="0.25">
      <c r="A3" s="147"/>
      <c r="B3" s="147"/>
      <c r="C3" s="147"/>
      <c r="D3" s="147"/>
      <c r="E3" s="147"/>
      <c r="F3" s="147"/>
      <c r="G3" s="167"/>
      <c r="H3" s="168"/>
      <c r="I3" s="147"/>
    </row>
    <row r="4" spans="1:9" ht="28" customHeight="1" thickBot="1" x14ac:dyDescent="0.25">
      <c r="A4" s="147"/>
      <c r="B4" s="147"/>
      <c r="C4" s="147"/>
      <c r="D4" s="147"/>
      <c r="E4" s="147"/>
      <c r="F4" s="15" t="s">
        <v>4</v>
      </c>
      <c r="G4" s="165" t="s">
        <v>711</v>
      </c>
      <c r="H4" s="166" t="s">
        <v>712</v>
      </c>
      <c r="I4" s="147"/>
    </row>
    <row r="5" spans="1:9" ht="17" thickTop="1" x14ac:dyDescent="0.2">
      <c r="A5" s="147"/>
      <c r="B5" s="147"/>
      <c r="C5" s="147"/>
      <c r="D5" s="147"/>
      <c r="E5" s="147"/>
      <c r="F5" s="154" t="s">
        <v>12</v>
      </c>
      <c r="G5" s="163" t="str">
        <f>IFERROR(HYPERLINK("#Labels!G"&amp;MATCH(F5,Labels!D:D,0),IF(INDEX(Labels!H:H,MATCH(F5,Labels!D:D,0))="Yes","Figure "&amp;INDEX(Labels!F:F,MATCH(F5,Labels!D:D,0))&amp;" -  "&amp;INDEX(Labels!G:G,MATCH(F5,Labels!D:D,0)),"Table "&amp;INDEX(Labels!F:F,MATCH(F5,Labels!D:D,0))&amp;" -  "&amp;INDEX(Labels!G:G,MATCH(F5,Labels!D:D,0)))),"[Not found: "&amp;F5&amp;"]")</f>
        <v>Table 1 -  Screened participants</v>
      </c>
      <c r="H5" s="164" t="str">
        <f>HYPERLINK("#'sec1_scr_pat'!A1","Open →")</f>
        <v>Open →</v>
      </c>
      <c r="I5" s="147"/>
    </row>
    <row r="6" spans="1:9" ht="16" x14ac:dyDescent="0.2">
      <c r="A6" s="147"/>
      <c r="B6" s="147"/>
      <c r="C6" s="147"/>
      <c r="D6" s="147"/>
      <c r="E6" s="147"/>
      <c r="F6" s="154" t="s">
        <v>303</v>
      </c>
      <c r="G6" s="157" t="str">
        <f>IFERROR(HYPERLINK("#Labels!G"&amp;MATCH(F6,Labels!D:D,0),IF(INDEX(Labels!H:H,MATCH(F6,Labels!D:D,0))="Yes","Figure "&amp;INDEX(Labels!F:F,MATCH(F6,Labels!D:D,0))&amp;" -  "&amp;INDEX(Labels!G:G,MATCH(F6,Labels!D:D,0)),"Table "&amp;INDEX(Labels!F:F,MATCH(F6,Labels!D:D,0))&amp;" -  "&amp;INDEX(Labels!G:G,MATCH(F6,Labels!D:D,0)))),"[Not found: "&amp;F6&amp;"]")</f>
        <v>Table 2 -  Participants disposition - included participants by study site</v>
      </c>
      <c r="H6" s="158" t="str">
        <f>HYPERLINK("#'sec1_inc_pat'!A1","Open →")</f>
        <v>Open →</v>
      </c>
      <c r="I6" s="147"/>
    </row>
    <row r="7" spans="1:9" ht="16" x14ac:dyDescent="0.2">
      <c r="A7" s="147"/>
      <c r="B7" s="147"/>
      <c r="C7" s="147"/>
      <c r="D7" s="147"/>
      <c r="E7" s="147"/>
      <c r="F7" s="154" t="s">
        <v>714</v>
      </c>
      <c r="G7" s="155" t="str">
        <f>IFERROR(HYPERLINK("#Labels!G"&amp;MATCH(F7,Labels!D:D,0),IF(INDEX(Labels!H:H,MATCH(F7,Labels!D:D,0))="Yes","Figure "&amp;INDEX(Labels!F:F,MATCH(F7,Labels!D:D,0))&amp;" -  "&amp;INDEX(Labels!G:G,MATCH(F7,Labels!D:D,0)),"Table "&amp;INDEX(Labels!F:F,MATCH(F7,Labels!D:D,0))&amp;" -  "&amp;INDEX(Labels!G:G,MATCH(F7,Labels!D:D,0)))),"[Not found: "&amp;F7&amp;"]")</f>
        <v>Table 3 -  Participants disposition - included participants by tablet form - ITT population</v>
      </c>
      <c r="H7" s="156" t="str">
        <f>HYPERLINK("#'sec1_inc_ITT'!A1","Open →")</f>
        <v>Open →</v>
      </c>
      <c r="I7" s="147"/>
    </row>
    <row r="8" spans="1:9" ht="16" x14ac:dyDescent="0.2">
      <c r="A8" s="147"/>
      <c r="B8" s="147"/>
      <c r="C8" s="147"/>
      <c r="D8" s="147"/>
      <c r="E8" s="147"/>
      <c r="F8" s="154" t="s">
        <v>715</v>
      </c>
      <c r="G8" s="157" t="str">
        <f>IFERROR(HYPERLINK("#Labels!G"&amp;MATCH(F8,Labels!D:D,0),IF(INDEX(Labels!H:H,MATCH(F8,Labels!D:D,0))="Yes","Figure "&amp;INDEX(Labels!F:F,MATCH(F8,Labels!D:D,0))&amp;" -  "&amp;INDEX(Labels!G:G,MATCH(F8,Labels!D:D,0)),"Table "&amp;INDEX(Labels!F:F,MATCH(F8,Labels!D:D,0))&amp;" -  "&amp;INDEX(Labels!G:G,MATCH(F8,Labels!D:D,0)))),"[Not found: "&amp;F8&amp;"]")</f>
        <v>Table 4 -  Participants disposition - included participants by stage - ITT population</v>
      </c>
      <c r="H8" s="158" t="str">
        <f>HYPERLINK("#'sec1_inc_ITT'!A1","Open →")</f>
        <v>Open →</v>
      </c>
      <c r="I8" s="147"/>
    </row>
    <row r="9" spans="1:9" ht="16" x14ac:dyDescent="0.2">
      <c r="A9" s="147"/>
      <c r="B9" s="147"/>
      <c r="C9" s="147"/>
      <c r="D9" s="147"/>
      <c r="E9" s="147"/>
      <c r="F9" s="154" t="s">
        <v>304</v>
      </c>
      <c r="G9" s="155" t="str">
        <f>IFERROR(HYPERLINK("#Labels!G"&amp;MATCH(F9,Labels!D:D,0),IF(INDEX(Labels!H:H,MATCH(F9,Labels!D:D,0))="Yes","Figure "&amp;INDEX(Labels!F:F,MATCH(F9,Labels!D:D,0))&amp;" -  "&amp;INDEX(Labels!G:G,MATCH(F9,Labels!D:D,0)),"Table "&amp;INDEX(Labels!F:F,MATCH(F9,Labels!D:D,0))&amp;" -  "&amp;INDEX(Labels!G:G,MATCH(F9,Labels!D:D,0)))),"[Not found: "&amp;F9&amp;"]")</f>
        <v>Table 5 -  Number of participants by type of visits performed - ITT population</v>
      </c>
      <c r="H9" s="156" t="str">
        <f>HYPERLINK("#'sec1_nb_vt'!A1","Open →")</f>
        <v>Open →</v>
      </c>
      <c r="I9" s="147"/>
    </row>
    <row r="10" spans="1:9" ht="16" x14ac:dyDescent="0.2">
      <c r="A10" s="147"/>
      <c r="B10" s="147"/>
      <c r="C10" s="147"/>
      <c r="D10" s="147"/>
      <c r="E10" s="147"/>
      <c r="F10" s="154" t="s">
        <v>15</v>
      </c>
      <c r="G10" s="157" t="str">
        <f>IFERROR(HYPERLINK("#Labels!G"&amp;MATCH(F10,Labels!D:D,0),IF(INDEX(Labels!H:H,MATCH(F10,Labels!D:D,0))="Yes","Figure "&amp;INDEX(Labels!F:F,MATCH(F10,Labels!D:D,0))&amp;" -  "&amp;INDEX(Labels!G:G,MATCH(F10,Labels!D:D,0)),"Table "&amp;INDEX(Labels!F:F,MATCH(F10,Labels!D:D,0))&amp;" -  "&amp;INDEX(Labels!G:G,MATCH(F10,Labels!D:D,0)))),"[Not found: "&amp;F10&amp;"]")</f>
        <v>Table 7 -  Preselection characteristics per weight band -ITT population</v>
      </c>
      <c r="H10" s="158" t="str">
        <f>HYPERLINK("#'sec2_bas_char'!A1","Open →")</f>
        <v>Open →</v>
      </c>
      <c r="I10" s="147"/>
    </row>
    <row r="11" spans="1:9" ht="16" x14ac:dyDescent="0.2">
      <c r="A11" s="147"/>
      <c r="B11" s="147"/>
      <c r="C11" s="147"/>
      <c r="D11" s="147"/>
      <c r="E11" s="147"/>
      <c r="F11" s="154" t="s">
        <v>16</v>
      </c>
      <c r="G11" s="155" t="str">
        <f>IFERROR(HYPERLINK("#Labels!G"&amp;MATCH(F11,Labels!D:D,0),IF(INDEX(Labels!H:H,MATCH(F11,Labels!D:D,0))="Yes","Figure "&amp;INDEX(Labels!F:F,MATCH(F11,Labels!D:D,0))&amp;" -  "&amp;INDEX(Labels!G:G,MATCH(F11,Labels!D:D,0)),"Table "&amp;INDEX(Labels!F:F,MATCH(F11,Labels!D:D,0))&amp;" -  "&amp;INDEX(Labels!G:G,MATCH(F11,Labels!D:D,0)))),"[Not found: "&amp;F11&amp;"]")</f>
        <v>Table 14 -  Laboratory diagnosis of HAT at preselection per weight band - ITT population</v>
      </c>
      <c r="H11" s="156" t="str">
        <f>HYPERLINK("#'sec2_labdiag'!A1","Open →")</f>
        <v>Open →</v>
      </c>
      <c r="I11" s="147"/>
    </row>
    <row r="12" spans="1:9" ht="16" x14ac:dyDescent="0.2">
      <c r="A12" s="147"/>
      <c r="B12" s="147"/>
      <c r="C12" s="147"/>
      <c r="D12" s="147"/>
      <c r="E12" s="147"/>
      <c r="F12" s="154" t="s">
        <v>654</v>
      </c>
      <c r="G12" s="157" t="str">
        <f>IFERROR(HYPERLINK("#Labels!G"&amp;MATCH(F12,Labels!D:D,0),IF(INDEX(Labels!H:H,MATCH(F12,Labels!D:D,0))="Yes","Figure "&amp;INDEX(Labels!F:F,MATCH(F12,Labels!D:D,0))&amp;" -  "&amp;INDEX(Labels!G:G,MATCH(F12,Labels!D:D,0)),"Table "&amp;INDEX(Labels!F:F,MATCH(F12,Labels!D:D,0))&amp;" -  "&amp;INDEX(Labels!G:G,MATCH(F12,Labels!D:D,0)))),"[Not found: "&amp;F12&amp;"]")</f>
        <v>Table 13 -  Laboratory diagnosis of Hat at preselection total - ITT population</v>
      </c>
      <c r="H12" s="158" t="str">
        <f>HYPERLINK("#'sec2_labdiag'!A1","Open →")</f>
        <v>Open →</v>
      </c>
      <c r="I12" s="147"/>
    </row>
    <row r="13" spans="1:9" ht="16" x14ac:dyDescent="0.2">
      <c r="A13" s="147"/>
      <c r="B13" s="147"/>
      <c r="C13" s="147"/>
      <c r="D13" s="147"/>
      <c r="E13" s="147"/>
      <c r="F13" s="154" t="s">
        <v>17</v>
      </c>
      <c r="G13" s="155" t="str">
        <f>IFERROR(HYPERLINK("#Labels!G"&amp;MATCH(F13,Labels!D:D,0),IF(INDEX(Labels!H:H,MATCH(F13,Labels!D:D,0))="Yes","Figure "&amp;INDEX(Labels!F:F,MATCH(F13,Labels!D:D,0))&amp;" -  "&amp;INDEX(Labels!G:G,MATCH(F13,Labels!D:D,0)),"Table "&amp;INDEX(Labels!F:F,MATCH(F13,Labels!D:D,0))&amp;" -  "&amp;INDEX(Labels!G:G,MATCH(F13,Labels!D:D,0)))),"[Not found: "&amp;F13&amp;"]")</f>
        <v>Table 12 -  Medical History by SOC/PT - ITT participants</v>
      </c>
      <c r="H13" s="156" t="str">
        <f>HYPERLINK("#'sec2_mehs_soc'!A1","Open →")</f>
        <v>Open →</v>
      </c>
      <c r="I13" s="147"/>
    </row>
    <row r="14" spans="1:9" ht="16" x14ac:dyDescent="0.2">
      <c r="A14" s="147"/>
      <c r="B14" s="147"/>
      <c r="C14" s="147"/>
      <c r="D14" s="147"/>
      <c r="E14" s="147"/>
      <c r="F14" s="154" t="s">
        <v>18</v>
      </c>
      <c r="G14" s="157" t="str">
        <f>IFERROR(HYPERLINK("#Labels!G"&amp;MATCH(F14,Labels!D:D,0),IF(INDEX(Labels!H:H,MATCH(F14,Labels!D:D,0))="Yes","Figure "&amp;INDEX(Labels!F:F,MATCH(F14,Labels!D:D,0))&amp;" -  "&amp;INDEX(Labels!G:G,MATCH(F14,Labels!D:D,0)),"Table "&amp;INDEX(Labels!F:F,MATCH(F14,Labels!D:D,0))&amp;" -  "&amp;INDEX(Labels!G:G,MATCH(F14,Labels!D:D,0)))),"[Not found: "&amp;F14&amp;"]")</f>
        <v>Table 16 -  Results of malaria test at preselection per weight band - ITT population</v>
      </c>
      <c r="H14" s="158" t="str">
        <f>HYPERLINK("#'sec2_res_mal'!A1","Open →")</f>
        <v>Open →</v>
      </c>
      <c r="I14" s="147"/>
    </row>
    <row r="15" spans="1:9" ht="16" x14ac:dyDescent="0.2">
      <c r="A15" s="147"/>
      <c r="B15" s="147"/>
      <c r="C15" s="147"/>
      <c r="D15" s="147"/>
      <c r="E15" s="147"/>
      <c r="F15" s="154" t="s">
        <v>659</v>
      </c>
      <c r="G15" s="155" t="str">
        <f>IFERROR(HYPERLINK("#Labels!G"&amp;MATCH(F15,Labels!D:D,0),IF(INDEX(Labels!H:H,MATCH(F15,Labels!D:D,0))="Yes","Figure "&amp;INDEX(Labels!F:F,MATCH(F15,Labels!D:D,0))&amp;" -  "&amp;INDEX(Labels!G:G,MATCH(F15,Labels!D:D,0)),"Table "&amp;INDEX(Labels!F:F,MATCH(F15,Labels!D:D,0))&amp;" -  "&amp;INDEX(Labels!G:G,MATCH(F15,Labels!D:D,0)))),"[Not found: "&amp;F15&amp;"]")</f>
        <v>Table 17 -  Vital signs at baseline total - ITT population</v>
      </c>
      <c r="H15" s="156" t="str">
        <f>HYPERLINK("#'sec2_vit_sg'!A1","Open →")</f>
        <v>Open →</v>
      </c>
      <c r="I15" s="147"/>
    </row>
    <row r="16" spans="1:9" ht="16" x14ac:dyDescent="0.2">
      <c r="A16" s="147"/>
      <c r="B16" s="147"/>
      <c r="C16" s="147"/>
      <c r="D16" s="147"/>
      <c r="E16" s="147"/>
      <c r="F16" s="154" t="s">
        <v>604</v>
      </c>
      <c r="G16" s="157" t="str">
        <f>IFERROR(HYPERLINK("#Labels!G"&amp;MATCH(F16,Labels!D:D,0),IF(INDEX(Labels!H:H,MATCH(F16,Labels!D:D,0))="Yes","Figure "&amp;INDEX(Labels!F:F,MATCH(F16,Labels!D:D,0))&amp;" -  "&amp;INDEX(Labels!G:G,MATCH(F16,Labels!D:D,0)),"Table "&amp;INDEX(Labels!F:F,MATCH(F16,Labels!D:D,0))&amp;" -  "&amp;INDEX(Labels!G:G,MATCH(F16,Labels!D:D,0)))),"[Not found: "&amp;F16&amp;"]")</f>
        <v>Table 18 -  Vital signs at baseline per weight band - ITT population</v>
      </c>
      <c r="H16" s="158" t="str">
        <f>HYPERLINK("#'sec2_vit_sg'!A1","Open →")</f>
        <v>Open →</v>
      </c>
      <c r="I16" s="147"/>
    </row>
    <row r="17" spans="1:9" ht="16" x14ac:dyDescent="0.2">
      <c r="A17" s="147"/>
      <c r="B17" s="147"/>
      <c r="C17" s="147"/>
      <c r="D17" s="147"/>
      <c r="E17" s="147"/>
      <c r="F17" s="154" t="s">
        <v>661</v>
      </c>
      <c r="G17" s="155" t="str">
        <f>IFERROR(HYPERLINK("#Labels!G"&amp;MATCH(F17,Labels!D:D,0),IF(INDEX(Labels!H:H,MATCH(F17,Labels!D:D,0))="Yes","Figure "&amp;INDEX(Labels!F:F,MATCH(F17,Labels!D:D,0))&amp;" -  "&amp;INDEX(Labels!G:G,MATCH(F17,Labels!D:D,0)),"Table "&amp;INDEX(Labels!F:F,MATCH(F17,Labels!D:D,0))&amp;" -  "&amp;INDEX(Labels!G:G,MATCH(F17,Labels!D:D,0)))),"[Not found: "&amp;F17&amp;"]")</f>
        <v>Table 19 -  Thyroid assessment at screening total - ITT population</v>
      </c>
      <c r="H17" s="159"/>
      <c r="I17" s="147"/>
    </row>
    <row r="18" spans="1:9" ht="16" x14ac:dyDescent="0.2">
      <c r="A18" s="147"/>
      <c r="B18" s="147"/>
      <c r="C18" s="147"/>
      <c r="D18" s="147"/>
      <c r="E18" s="147"/>
      <c r="F18" s="154" t="s">
        <v>20</v>
      </c>
      <c r="G18" s="157" t="str">
        <f>IFERROR(HYPERLINK("#Labels!G"&amp;MATCH(F18,Labels!D:D,0),IF(INDEX(Labels!H:H,MATCH(F18,Labels!D:D,0))="Yes","Figure "&amp;INDEX(Labels!F:F,MATCH(F18,Labels!D:D,0))&amp;" -  "&amp;INDEX(Labels!G:G,MATCH(F18,Labels!D:D,0)),"Table "&amp;INDEX(Labels!F:F,MATCH(F18,Labels!D:D,0))&amp;" -  "&amp;INDEX(Labels!G:G,MATCH(F18,Labels!D:D,0)))),"[Not found: "&amp;F18&amp;"]")</f>
        <v>Table 21 -  For each Signs and symptoms of HAT at baseline: Time from symptom n (%)</v>
      </c>
      <c r="H18" s="158" t="str">
        <f>HYPERLINK("#'sec2_rhat'!A1","Open →")</f>
        <v>Open →</v>
      </c>
      <c r="I18" s="147"/>
    </row>
    <row r="19" spans="1:9" ht="32" x14ac:dyDescent="0.2">
      <c r="A19" s="147"/>
      <c r="B19" s="147"/>
      <c r="C19" s="147"/>
      <c r="D19" s="147"/>
      <c r="E19" s="147"/>
      <c r="F19" s="154" t="s">
        <v>23</v>
      </c>
      <c r="G19" s="155" t="str">
        <f>IFERROR(HYPERLINK("#Labels!G"&amp;MATCH(F19,Labels!D:D,0),IF(INDEX(Labels!H:H,MATCH(F19,Labels!D:D,0))="Yes","Figure "&amp;INDEX(Labels!F:F,MATCH(F19,Labels!D:D,0))&amp;" -  "&amp;INDEX(Labels!G:G,MATCH(F19,Labels!D:D,0)),"Table "&amp;INDEX(Labels!F:F,MATCH(F19,Labels!D:D,0))&amp;" -  "&amp;INDEX(Labels!G:G,MATCH(F19,Labels!D:D,0)))),"[Not found: "&amp;F19&amp;"]")</f>
        <v>Table 22 -  For each Signs and symptoms of HAT at baseline: Continuous or interITTent and grade - ITT population n (%)</v>
      </c>
      <c r="H19" s="156" t="str">
        <f>HYPERLINK("#'sec2_rhat'!A1","Open →")</f>
        <v>Open →</v>
      </c>
      <c r="I19" s="147"/>
    </row>
    <row r="20" spans="1:9" ht="16" x14ac:dyDescent="0.2">
      <c r="A20" s="147"/>
      <c r="B20" s="147"/>
      <c r="C20" s="147"/>
      <c r="D20" s="147"/>
      <c r="E20" s="147"/>
      <c r="F20" s="154" t="s">
        <v>25</v>
      </c>
      <c r="G20" s="157" t="str">
        <f>IFERROR(HYPERLINK("#Labels!G"&amp;MATCH(F20,Labels!D:D,0),IF(INDEX(Labels!H:H,MATCH(F20,Labels!D:D,0))="Yes","Figure "&amp;INDEX(Labels!F:F,MATCH(F20,Labels!D:D,0))&amp;" -  "&amp;INDEX(Labels!G:G,MATCH(F20,Labels!D:D,0)),"Table "&amp;INDEX(Labels!F:F,MATCH(F20,Labels!D:D,0))&amp;" -  "&amp;INDEX(Labels!G:G,MATCH(F20,Labels!D:D,0)))),"[Not found: "&amp;F20&amp;"]")</f>
        <v>Table 23 -  For each Other Signs and symptoms of HAT at baseline: Time from symptom</v>
      </c>
      <c r="H20" s="160"/>
      <c r="I20" s="147"/>
    </row>
    <row r="21" spans="1:9" ht="32" x14ac:dyDescent="0.2">
      <c r="A21" s="147"/>
      <c r="B21" s="147"/>
      <c r="C21" s="147"/>
      <c r="D21" s="147"/>
      <c r="E21" s="147"/>
      <c r="F21" s="154" t="s">
        <v>27</v>
      </c>
      <c r="G21" s="155" t="str">
        <f>IFERROR(HYPERLINK("#Labels!G"&amp;MATCH(F21,Labels!D:D,0),IF(INDEX(Labels!H:H,MATCH(F21,Labels!D:D,0))="Yes","Figure "&amp;INDEX(Labels!F:F,MATCH(F21,Labels!D:D,0))&amp;" -  "&amp;INDEX(Labels!G:G,MATCH(F21,Labels!D:D,0)),"Table "&amp;INDEX(Labels!F:F,MATCH(F21,Labels!D:D,0))&amp;" -  "&amp;INDEX(Labels!G:G,MATCH(F21,Labels!D:D,0)))),"[Not found: "&amp;F21&amp;"]")</f>
        <v>Table 24 -  For each Other Signs and symptoms of HAT at baseline: Continuous or interITTent and grade -ITT population n (%)</v>
      </c>
      <c r="H21" s="159"/>
      <c r="I21" s="147"/>
    </row>
    <row r="22" spans="1:9" ht="32" x14ac:dyDescent="0.2">
      <c r="A22" s="147"/>
      <c r="B22" s="147"/>
      <c r="C22" s="147"/>
      <c r="D22" s="147"/>
      <c r="E22" s="147"/>
      <c r="F22" s="154" t="s">
        <v>29</v>
      </c>
      <c r="G22" s="157" t="str">
        <f>IFERROR(HYPERLINK("#Labels!G"&amp;MATCH(F22,Labels!D:D,0),IF(INDEX(Labels!H:H,MATCH(F22,Labels!D:D,0))="Yes","Figure "&amp;INDEX(Labels!F:F,MATCH(F22,Labels!D:D,0))&amp;" -  "&amp;INDEX(Labels!G:G,MATCH(F22,Labels!D:D,0)),"Table "&amp;INDEX(Labels!F:F,MATCH(F22,Labels!D:D,0))&amp;" -  "&amp;INDEX(Labels!G:G,MATCH(F22,Labels!D:D,0)))),"[Not found: "&amp;F22&amp;"]")</f>
        <v>Table 25 -  Physical examination at screening: n (%) of participants with normal / abnormal examination - ITT population</v>
      </c>
      <c r="H22" s="158" t="str">
        <f>HYPERLINK("#'sec2_physex'!A1","Open →")</f>
        <v>Open →</v>
      </c>
      <c r="I22" s="147"/>
    </row>
    <row r="23" spans="1:9" ht="32" x14ac:dyDescent="0.2">
      <c r="A23" s="147"/>
      <c r="B23" s="147"/>
      <c r="C23" s="147"/>
      <c r="D23" s="147"/>
      <c r="E23" s="147"/>
      <c r="F23" s="154" t="s">
        <v>30</v>
      </c>
      <c r="G23" s="155" t="str">
        <f>IFERROR(HYPERLINK("#Labels!G"&amp;MATCH(F23,Labels!D:D,0),IF(INDEX(Labels!H:H,MATCH(F23,Labels!D:D,0))="Yes","Figure "&amp;INDEX(Labels!F:F,MATCH(F23,Labels!D:D,0))&amp;" -  "&amp;INDEX(Labels!G:G,MATCH(F23,Labels!D:D,0)),"Table "&amp;INDEX(Labels!F:F,MATCH(F23,Labels!D:D,0))&amp;" -  "&amp;INDEX(Labels!G:G,MATCH(F23,Labels!D:D,0)))),"[Not found: "&amp;F23&amp;"]")</f>
        <v>Table 26 -  Neurological examinations at screening: n (%) of participants with anormal / abnormal examination - ITT population</v>
      </c>
      <c r="H23" s="156" t="str">
        <f>HYPERLINK("#'sec2_neurex'!A1","Open →")</f>
        <v>Open →</v>
      </c>
      <c r="I23" s="147"/>
    </row>
    <row r="24" spans="1:9" ht="32" x14ac:dyDescent="0.2">
      <c r="A24" s="147"/>
      <c r="B24" s="147"/>
      <c r="C24" s="147"/>
      <c r="D24" s="147"/>
      <c r="E24" s="147"/>
      <c r="F24" s="154" t="s">
        <v>31</v>
      </c>
      <c r="G24" s="157" t="str">
        <f>IFERROR(HYPERLINK("#Labels!G"&amp;MATCH(F24,Labels!D:D,0),IF(INDEX(Labels!H:H,MATCH(F24,Labels!D:D,0))="Yes","Figure "&amp;INDEX(Labels!F:F,MATCH(F24,Labels!D:D,0))&amp;" -  "&amp;INDEX(Labels!G:G,MATCH(F24,Labels!D:D,0)),"Table "&amp;INDEX(Labels!F:F,MATCH(F24,Labels!D:D,0))&amp;" -  "&amp;INDEX(Labels!G:G,MATCH(F24,Labels!D:D,0)))),"[Not found: "&amp;F24&amp;"]")</f>
        <v>Table 27 -  Platelets (10^3/µl): n (%) of participants with normal/abnormal results and descriptive statistics -  ITT population</v>
      </c>
      <c r="H24" s="160"/>
      <c r="I24" s="147"/>
    </row>
    <row r="25" spans="1:9" ht="32" x14ac:dyDescent="0.2">
      <c r="A25" s="147"/>
      <c r="B25" s="147"/>
      <c r="C25" s="147"/>
      <c r="D25" s="147"/>
      <c r="E25" s="147"/>
      <c r="F25" s="154" t="s">
        <v>32</v>
      </c>
      <c r="G25" s="155" t="str">
        <f>IFERROR(HYPERLINK("#Labels!G"&amp;MATCH(F25,Labels!D:D,0),IF(INDEX(Labels!H:H,MATCH(F25,Labels!D:D,0))="Yes","Figure "&amp;INDEX(Labels!F:F,MATCH(F25,Labels!D:D,0))&amp;" -  "&amp;INDEX(Labels!G:G,MATCH(F25,Labels!D:D,0)),"Table "&amp;INDEX(Labels!F:F,MATCH(F25,Labels!D:D,0))&amp;" -  "&amp;INDEX(Labels!G:G,MATCH(F25,Labels!D:D,0)))),"[Not found: "&amp;F25&amp;"]")</f>
        <v>Table 28 -  Leukocytes (10^3/µl): n (%) of participants with normal/abnormal results and descriptive statistics  -  ITT population</v>
      </c>
      <c r="H25" s="159"/>
      <c r="I25" s="147"/>
    </row>
    <row r="26" spans="1:9" ht="32" x14ac:dyDescent="0.2">
      <c r="A26" s="147"/>
      <c r="B26" s="147"/>
      <c r="C26" s="147"/>
      <c r="D26" s="147"/>
      <c r="E26" s="147"/>
      <c r="F26" s="154" t="s">
        <v>33</v>
      </c>
      <c r="G26" s="157" t="str">
        <f>IFERROR(HYPERLINK("#Labels!G"&amp;MATCH(F26,Labels!D:D,0),IF(INDEX(Labels!H:H,MATCH(F26,Labels!D:D,0))="Yes","Figure "&amp;INDEX(Labels!F:F,MATCH(F26,Labels!D:D,0))&amp;" -  "&amp;INDEX(Labels!G:G,MATCH(F26,Labels!D:D,0)),"Table "&amp;INDEX(Labels!F:F,MATCH(F26,Labels!D:D,0))&amp;" -  "&amp;INDEX(Labels!G:G,MATCH(F26,Labels!D:D,0)))),"[Not found: "&amp;F26&amp;"]")</f>
        <v>Table 29 -  Neutrophils (%): n (%) of participants with normal/abnormal results and descriptive statistics  -  ITT population</v>
      </c>
      <c r="H26" s="160"/>
      <c r="I26" s="147"/>
    </row>
    <row r="27" spans="1:9" ht="32" x14ac:dyDescent="0.2">
      <c r="A27" s="147"/>
      <c r="B27" s="147"/>
      <c r="C27" s="147"/>
      <c r="D27" s="147"/>
      <c r="E27" s="147"/>
      <c r="F27" s="154" t="s">
        <v>34</v>
      </c>
      <c r="G27" s="155" t="str">
        <f>IFERROR(HYPERLINK("#Labels!G"&amp;MATCH(F27,Labels!D:D,0),IF(INDEX(Labels!H:H,MATCH(F27,Labels!D:D,0))="Yes","Figure "&amp;INDEX(Labels!F:F,MATCH(F27,Labels!D:D,0))&amp;" -  "&amp;INDEX(Labels!G:G,MATCH(F27,Labels!D:D,0)),"Table "&amp;INDEX(Labels!F:F,MATCH(F27,Labels!D:D,0))&amp;" -  "&amp;INDEX(Labels!G:G,MATCH(F27,Labels!D:D,0)))),"[Not found: "&amp;F27&amp;"]")</f>
        <v>Table 30 -  Eosinophils (%): n (%) of participants with normal/abnormal results and descriptive statistics  -  ITT population</v>
      </c>
      <c r="H27" s="159"/>
      <c r="I27" s="147"/>
    </row>
    <row r="28" spans="1:9" ht="32" x14ac:dyDescent="0.2">
      <c r="A28" s="147"/>
      <c r="B28" s="147"/>
      <c r="C28" s="147"/>
      <c r="D28" s="147"/>
      <c r="E28" s="147"/>
      <c r="F28" s="154" t="s">
        <v>35</v>
      </c>
      <c r="G28" s="157" t="str">
        <f>IFERROR(HYPERLINK("#Labels!G"&amp;MATCH(F28,Labels!D:D,0),IF(INDEX(Labels!H:H,MATCH(F28,Labels!D:D,0))="Yes","Figure "&amp;INDEX(Labels!F:F,MATCH(F28,Labels!D:D,0))&amp;" -  "&amp;INDEX(Labels!G:G,MATCH(F28,Labels!D:D,0)),"Table "&amp;INDEX(Labels!F:F,MATCH(F28,Labels!D:D,0))&amp;" -  "&amp;INDEX(Labels!G:G,MATCH(F28,Labels!D:D,0)))),"[Not found: "&amp;F28&amp;"]")</f>
        <v>Table 31 -  Basophils (%) : n (%) of participants with normal/abnormal results and descriptive statistics  -  ITT population</v>
      </c>
      <c r="H28" s="160"/>
      <c r="I28" s="147"/>
    </row>
    <row r="29" spans="1:9" ht="32" x14ac:dyDescent="0.2">
      <c r="A29" s="147"/>
      <c r="B29" s="147"/>
      <c r="C29" s="147"/>
      <c r="D29" s="147"/>
      <c r="E29" s="147"/>
      <c r="F29" s="154" t="s">
        <v>36</v>
      </c>
      <c r="G29" s="155" t="str">
        <f>IFERROR(HYPERLINK("#Labels!G"&amp;MATCH(F29,Labels!D:D,0),IF(INDEX(Labels!H:H,MATCH(F29,Labels!D:D,0))="Yes","Figure "&amp;INDEX(Labels!F:F,MATCH(F29,Labels!D:D,0))&amp;" -  "&amp;INDEX(Labels!G:G,MATCH(F29,Labels!D:D,0)),"Table "&amp;INDEX(Labels!F:F,MATCH(F29,Labels!D:D,0))&amp;" -  "&amp;INDEX(Labels!G:G,MATCH(F29,Labels!D:D,0)))),"[Not found: "&amp;F29&amp;"]")</f>
        <v>Table 32 -  Lymphocytes (%): n (%) of participants with normal/abnormal results and descriptive statistics  -  ITT population</v>
      </c>
      <c r="H29" s="159"/>
      <c r="I29" s="147"/>
    </row>
    <row r="30" spans="1:9" ht="32" x14ac:dyDescent="0.2">
      <c r="A30" s="147"/>
      <c r="B30" s="147"/>
      <c r="C30" s="147"/>
      <c r="D30" s="147"/>
      <c r="E30" s="147"/>
      <c r="F30" s="154" t="s">
        <v>37</v>
      </c>
      <c r="G30" s="157" t="str">
        <f>IFERROR(HYPERLINK("#Labels!G"&amp;MATCH(F30,Labels!D:D,0),IF(INDEX(Labels!H:H,MATCH(F30,Labels!D:D,0))="Yes","Figure "&amp;INDEX(Labels!F:F,MATCH(F30,Labels!D:D,0))&amp;" -  "&amp;INDEX(Labels!G:G,MATCH(F30,Labels!D:D,0)),"Table "&amp;INDEX(Labels!F:F,MATCH(F30,Labels!D:D,0))&amp;" -  "&amp;INDEX(Labels!G:G,MATCH(F30,Labels!D:D,0)))),"[Not found: "&amp;F30&amp;"]")</f>
        <v>Table 33 -  Monocytes (%): n (%) of participants with normal/abnormal results and descriptive statistics  -  ITT population</v>
      </c>
      <c r="H30" s="160"/>
      <c r="I30" s="147"/>
    </row>
    <row r="31" spans="1:9" ht="32" x14ac:dyDescent="0.2">
      <c r="A31" s="147"/>
      <c r="B31" s="147"/>
      <c r="C31" s="147"/>
      <c r="D31" s="147"/>
      <c r="E31" s="147"/>
      <c r="F31" s="154" t="s">
        <v>325</v>
      </c>
      <c r="G31" s="155" t="str">
        <f>IFERROR(HYPERLINK("#Labels!G"&amp;MATCH(F31,Labels!D:D,0),IF(INDEX(Labels!H:H,MATCH(F31,Labels!D:D,0))="Yes","Figure "&amp;INDEX(Labels!F:F,MATCH(F31,Labels!D:D,0))&amp;" -  "&amp;INDEX(Labels!G:G,MATCH(F31,Labels!D:D,0)),"Table "&amp;INDEX(Labels!F:F,MATCH(F31,Labels!D:D,0))&amp;" -  "&amp;INDEX(Labels!G:G,MATCH(F31,Labels!D:D,0)))),"[Not found: "&amp;F31&amp;"]")</f>
        <v>Table 34 -  n (%) of participants with normal/abnormal results and descriptive statistics  for Hemoglobin– male (g/dL) in ITT population</v>
      </c>
      <c r="H31" s="159"/>
      <c r="I31" s="147"/>
    </row>
    <row r="32" spans="1:9" ht="32" x14ac:dyDescent="0.2">
      <c r="A32" s="147"/>
      <c r="B32" s="147"/>
      <c r="C32" s="147"/>
      <c r="D32" s="147"/>
      <c r="E32" s="147"/>
      <c r="F32" s="154" t="s">
        <v>326</v>
      </c>
      <c r="G32" s="157" t="str">
        <f>IFERROR(HYPERLINK("#Labels!G"&amp;MATCH(F32,Labels!D:D,0),IF(INDEX(Labels!H:H,MATCH(F32,Labels!D:D,0))="Yes","Figure "&amp;INDEX(Labels!F:F,MATCH(F32,Labels!D:D,0))&amp;" -  "&amp;INDEX(Labels!G:G,MATCH(F32,Labels!D:D,0)),"Table "&amp;INDEX(Labels!F:F,MATCH(F32,Labels!D:D,0))&amp;" -  "&amp;INDEX(Labels!G:G,MATCH(F32,Labels!D:D,0)))),"[Not found: "&amp;F32&amp;"]")</f>
        <v>Table 35 -  n (%) of participants with normal/abnormal results and descriptive statistics  for Hemoglobin– female (g/dL) in ITT population</v>
      </c>
      <c r="H32" s="160"/>
      <c r="I32" s="147"/>
    </row>
    <row r="33" spans="1:9" ht="32" x14ac:dyDescent="0.2">
      <c r="A33" s="147"/>
      <c r="B33" s="147"/>
      <c r="C33" s="147"/>
      <c r="D33" s="147"/>
      <c r="E33" s="147"/>
      <c r="F33" s="154" t="s">
        <v>38</v>
      </c>
      <c r="G33" s="155" t="str">
        <f>IFERROR(HYPERLINK("#Labels!G"&amp;MATCH(F33,Labels!D:D,0),IF(INDEX(Labels!H:H,MATCH(F33,Labels!D:D,0))="Yes","Figure "&amp;INDEX(Labels!F:F,MATCH(F33,Labels!D:D,0))&amp;" -  "&amp;INDEX(Labels!G:G,MATCH(F33,Labels!D:D,0)),"Table "&amp;INDEX(Labels!F:F,MATCH(F33,Labels!D:D,0))&amp;" -  "&amp;INDEX(Labels!G:G,MATCH(F33,Labels!D:D,0)))),"[Not found: "&amp;F33&amp;"]")</f>
        <v>Table 36 -  Sodium (mmol/L): n (%) of participants with normal/abnormal results and descriptive statistics  -  ITT population</v>
      </c>
      <c r="H33" s="159"/>
      <c r="I33" s="147"/>
    </row>
    <row r="34" spans="1:9" ht="32" x14ac:dyDescent="0.2">
      <c r="A34" s="147"/>
      <c r="B34" s="147"/>
      <c r="C34" s="147"/>
      <c r="D34" s="147"/>
      <c r="E34" s="147"/>
      <c r="F34" s="154" t="s">
        <v>39</v>
      </c>
      <c r="G34" s="157" t="str">
        <f>IFERROR(HYPERLINK("#Labels!G"&amp;MATCH(F34,Labels!D:D,0),IF(INDEX(Labels!H:H,MATCH(F34,Labels!D:D,0))="Yes","Figure "&amp;INDEX(Labels!F:F,MATCH(F34,Labels!D:D,0))&amp;" -  "&amp;INDEX(Labels!G:G,MATCH(F34,Labels!D:D,0)),"Table "&amp;INDEX(Labels!F:F,MATCH(F34,Labels!D:D,0))&amp;" -  "&amp;INDEX(Labels!G:G,MATCH(F34,Labels!D:D,0)))),"[Not found: "&amp;F34&amp;"]")</f>
        <v>Table 37 -  Potassium (mmol/L): n (%) of participants with normal/abnormal results and descriptive statistics  -  ITT population</v>
      </c>
      <c r="H34" s="160"/>
      <c r="I34" s="147"/>
    </row>
    <row r="35" spans="1:9" ht="32" x14ac:dyDescent="0.2">
      <c r="A35" s="147"/>
      <c r="B35" s="147"/>
      <c r="C35" s="147"/>
      <c r="D35" s="147"/>
      <c r="E35" s="147"/>
      <c r="F35" s="154" t="s">
        <v>40</v>
      </c>
      <c r="G35" s="155" t="str">
        <f>IFERROR(HYPERLINK("#Labels!G"&amp;MATCH(F35,Labels!D:D,0),IF(INDEX(Labels!H:H,MATCH(F35,Labels!D:D,0))="Yes","Figure "&amp;INDEX(Labels!F:F,MATCH(F35,Labels!D:D,0))&amp;" -  "&amp;INDEX(Labels!G:G,MATCH(F35,Labels!D:D,0)),"Table "&amp;INDEX(Labels!F:F,MATCH(F35,Labels!D:D,0))&amp;" -  "&amp;INDEX(Labels!G:G,MATCH(F35,Labels!D:D,0)))),"[Not found: "&amp;F35&amp;"]")</f>
        <v>Table 38 -  Bicarbonates (mmol/L): n (%) of participants with normal/abnormal results and descriptive statistics  -  ITT population</v>
      </c>
      <c r="H35" s="159"/>
      <c r="I35" s="147"/>
    </row>
    <row r="36" spans="1:9" ht="32" x14ac:dyDescent="0.2">
      <c r="A36" s="147"/>
      <c r="B36" s="147"/>
      <c r="C36" s="147"/>
      <c r="D36" s="147"/>
      <c r="E36" s="147"/>
      <c r="F36" s="154" t="s">
        <v>41</v>
      </c>
      <c r="G36" s="157" t="str">
        <f>IFERROR(HYPERLINK("#Labels!G"&amp;MATCH(F36,Labels!D:D,0),IF(INDEX(Labels!H:H,MATCH(F36,Labels!D:D,0))="Yes","Figure "&amp;INDEX(Labels!F:F,MATCH(F36,Labels!D:D,0))&amp;" -  "&amp;INDEX(Labels!G:G,MATCH(F36,Labels!D:D,0)),"Table "&amp;INDEX(Labels!F:F,MATCH(F36,Labels!D:D,0))&amp;" -  "&amp;INDEX(Labels!G:G,MATCH(F36,Labels!D:D,0)))),"[Not found: "&amp;F36&amp;"]")</f>
        <v>Table 39 -  Chloride (mmol/L): n (%) of participants with normal/abnormal results and descriptive statistics  -  ITT population</v>
      </c>
      <c r="H36" s="160"/>
      <c r="I36" s="147"/>
    </row>
    <row r="37" spans="1:9" ht="32" x14ac:dyDescent="0.2">
      <c r="A37" s="147"/>
      <c r="B37" s="147"/>
      <c r="C37" s="147"/>
      <c r="D37" s="147"/>
      <c r="E37" s="147"/>
      <c r="F37" s="154" t="s">
        <v>42</v>
      </c>
      <c r="G37" s="155" t="str">
        <f>IFERROR(HYPERLINK("#Labels!G"&amp;MATCH(F37,Labels!D:D,0),IF(INDEX(Labels!H:H,MATCH(F37,Labels!D:D,0))="Yes","Figure "&amp;INDEX(Labels!F:F,MATCH(F37,Labels!D:D,0))&amp;" -  "&amp;INDEX(Labels!G:G,MATCH(F37,Labels!D:D,0)),"Table "&amp;INDEX(Labels!F:F,MATCH(F37,Labels!D:D,0))&amp;" -  "&amp;INDEX(Labels!G:G,MATCH(F37,Labels!D:D,0)))),"[Not found: "&amp;F37&amp;"]")</f>
        <v>Table 40 -  Glucose (mg/dL): n (%) of participants with normal/abnormal results and descriptive statistics  -  ITT population</v>
      </c>
      <c r="H37" s="159"/>
      <c r="I37" s="147"/>
    </row>
    <row r="38" spans="1:9" ht="32" x14ac:dyDescent="0.2">
      <c r="A38" s="147"/>
      <c r="B38" s="147"/>
      <c r="C38" s="147"/>
      <c r="D38" s="147"/>
      <c r="E38" s="147"/>
      <c r="F38" s="154" t="s">
        <v>43</v>
      </c>
      <c r="G38" s="157" t="str">
        <f>IFERROR(HYPERLINK("#Labels!G"&amp;MATCH(F38,Labels!D:D,0),IF(INDEX(Labels!H:H,MATCH(F38,Labels!D:D,0))="Yes","Figure "&amp;INDEX(Labels!F:F,MATCH(F38,Labels!D:D,0))&amp;" -  "&amp;INDEX(Labels!G:G,MATCH(F38,Labels!D:D,0)),"Table "&amp;INDEX(Labels!F:F,MATCH(F38,Labels!D:D,0))&amp;" -  "&amp;INDEX(Labels!G:G,MATCH(F38,Labels!D:D,0)))),"[Not found: "&amp;F38&amp;"]")</f>
        <v>Table 41 -  Calcium (mg/dL): n (%) of participants with normal/abnormal results and descriptive statistics  -  ITT population</v>
      </c>
      <c r="H38" s="160"/>
      <c r="I38" s="147"/>
    </row>
    <row r="39" spans="1:9" ht="32" x14ac:dyDescent="0.2">
      <c r="A39" s="147"/>
      <c r="B39" s="147"/>
      <c r="C39" s="147"/>
      <c r="D39" s="147"/>
      <c r="E39" s="147"/>
      <c r="F39" s="154" t="s">
        <v>44</v>
      </c>
      <c r="G39" s="155" t="str">
        <f>IFERROR(HYPERLINK("#Labels!G"&amp;MATCH(F39,Labels!D:D,0),IF(INDEX(Labels!H:H,MATCH(F39,Labels!D:D,0))="Yes","Figure "&amp;INDEX(Labels!F:F,MATCH(F39,Labels!D:D,0))&amp;" -  "&amp;INDEX(Labels!G:G,MATCH(F39,Labels!D:D,0)),"Table "&amp;INDEX(Labels!F:F,MATCH(F39,Labels!D:D,0))&amp;" -  "&amp;INDEX(Labels!G:G,MATCH(F39,Labels!D:D,0)))),"[Not found: "&amp;F39&amp;"]")</f>
        <v>Table 42 -  Blood Urea (mg/dL): n (%) of participants with normal/abnormal results and descriptive statistics  -  ITT population</v>
      </c>
      <c r="H39" s="159"/>
      <c r="I39" s="147"/>
    </row>
    <row r="40" spans="1:9" ht="32" x14ac:dyDescent="0.2">
      <c r="A40" s="147"/>
      <c r="B40" s="147"/>
      <c r="C40" s="147"/>
      <c r="D40" s="147"/>
      <c r="E40" s="147"/>
      <c r="F40" s="154" t="s">
        <v>45</v>
      </c>
      <c r="G40" s="157" t="str">
        <f>IFERROR(HYPERLINK("#Labels!G"&amp;MATCH(F40,Labels!D:D,0),IF(INDEX(Labels!H:H,MATCH(F40,Labels!D:D,0))="Yes","Figure "&amp;INDEX(Labels!F:F,MATCH(F40,Labels!D:D,0))&amp;" -  "&amp;INDEX(Labels!G:G,MATCH(F40,Labels!D:D,0)),"Table "&amp;INDEX(Labels!F:F,MATCH(F40,Labels!D:D,0))&amp;" -  "&amp;INDEX(Labels!G:G,MATCH(F40,Labels!D:D,0)))),"[Not found: "&amp;F40&amp;"]")</f>
        <v>Table 43 -  Creatinine (IU/L): n (%) of participants with normal/abnormal results and descriptive statistics  -  ITT population</v>
      </c>
      <c r="H40" s="160"/>
      <c r="I40" s="147"/>
    </row>
    <row r="41" spans="1:9" ht="32" x14ac:dyDescent="0.2">
      <c r="A41" s="147"/>
      <c r="B41" s="147"/>
      <c r="C41" s="147"/>
      <c r="D41" s="147"/>
      <c r="E41" s="147"/>
      <c r="F41" s="154" t="s">
        <v>46</v>
      </c>
      <c r="G41" s="155" t="str">
        <f>IFERROR(HYPERLINK("#Labels!G"&amp;MATCH(F41,Labels!D:D,0),IF(INDEX(Labels!H:H,MATCH(F41,Labels!D:D,0))="Yes","Figure "&amp;INDEX(Labels!F:F,MATCH(F41,Labels!D:D,0))&amp;" -  "&amp;INDEX(Labels!G:G,MATCH(F41,Labels!D:D,0)),"Table "&amp;INDEX(Labels!F:F,MATCH(F41,Labels!D:D,0))&amp;" -  "&amp;INDEX(Labels!G:G,MATCH(F41,Labels!D:D,0)))),"[Not found: "&amp;F41&amp;"]")</f>
        <v>Table 44 -  Alkanine (IU/L): n (%) of participants with normal/abnormal results and descriptive statistics  -  ITT population</v>
      </c>
      <c r="H41" s="159"/>
      <c r="I41" s="147"/>
    </row>
    <row r="42" spans="1:9" ht="16" x14ac:dyDescent="0.2">
      <c r="A42" s="147"/>
      <c r="B42" s="147"/>
      <c r="C42" s="147"/>
      <c r="D42" s="147"/>
      <c r="E42" s="147"/>
      <c r="F42" s="154" t="s">
        <v>47</v>
      </c>
      <c r="G42" s="157" t="str">
        <f>IFERROR(HYPERLINK("#Labels!G"&amp;MATCH(F42,Labels!D:D,0),IF(INDEX(Labels!H:H,MATCH(F42,Labels!D:D,0))="Yes","Figure "&amp;INDEX(Labels!F:F,MATCH(F42,Labels!D:D,0))&amp;" -  "&amp;INDEX(Labels!G:G,MATCH(F42,Labels!D:D,0)),"Table "&amp;INDEX(Labels!F:F,MATCH(F42,Labels!D:D,0))&amp;" -  "&amp;INDEX(Labels!G:G,MATCH(F42,Labels!D:D,0)))),"[Not found: "&amp;F42&amp;"]")</f>
        <v>Table 45 -  ALAT (IU/L): n(%) of participants with normal/abnormal results and descriptive statistics - ITT population</v>
      </c>
      <c r="H42" s="160"/>
      <c r="I42" s="147"/>
    </row>
    <row r="43" spans="1:9" ht="16" x14ac:dyDescent="0.2">
      <c r="A43" s="147"/>
      <c r="B43" s="147"/>
      <c r="C43" s="147"/>
      <c r="D43" s="147"/>
      <c r="E43" s="147"/>
      <c r="F43" s="154" t="s">
        <v>48</v>
      </c>
      <c r="G43" s="155" t="str">
        <f>IFERROR(HYPERLINK("#Labels!G"&amp;MATCH(F43,Labels!D:D,0),IF(INDEX(Labels!H:H,MATCH(F43,Labels!D:D,0))="Yes","Figure "&amp;INDEX(Labels!F:F,MATCH(F43,Labels!D:D,0))&amp;" -  "&amp;INDEX(Labels!G:G,MATCH(F43,Labels!D:D,0)),"Table "&amp;INDEX(Labels!F:F,MATCH(F43,Labels!D:D,0))&amp;" -  "&amp;INDEX(Labels!G:G,MATCH(F43,Labels!D:D,0)))),"[Not found: "&amp;F43&amp;"]")</f>
        <v>Table 46 -  ASAT (IU/L): n(%) of participants with normal/abnormal resluts and descriptive statistics - ITT population</v>
      </c>
      <c r="H43" s="159"/>
      <c r="I43" s="147"/>
    </row>
    <row r="44" spans="1:9" ht="32" x14ac:dyDescent="0.2">
      <c r="A44" s="147"/>
      <c r="B44" s="147"/>
      <c r="C44" s="147"/>
      <c r="D44" s="147"/>
      <c r="E44" s="147"/>
      <c r="F44" s="154" t="s">
        <v>49</v>
      </c>
      <c r="G44" s="157" t="str">
        <f>IFERROR(HYPERLINK("#Labels!G"&amp;MATCH(F44,Labels!D:D,0),IF(INDEX(Labels!H:H,MATCH(F44,Labels!D:D,0))="Yes","Figure "&amp;INDEX(Labels!F:F,MATCH(F44,Labels!D:D,0))&amp;" -  "&amp;INDEX(Labels!G:G,MATCH(F44,Labels!D:D,0)),"Table "&amp;INDEX(Labels!F:F,MATCH(F44,Labels!D:D,0))&amp;" -  "&amp;INDEX(Labels!G:G,MATCH(F44,Labels!D:D,0)))),"[Not found: "&amp;F44&amp;"]")</f>
        <v>Table 47 -  Biluribin (mg/dL): n(%) of participants with normal/abnormal results and descriptive statistics -ITT population</v>
      </c>
      <c r="H44" s="160"/>
      <c r="I44" s="147"/>
    </row>
    <row r="45" spans="1:9" ht="32" x14ac:dyDescent="0.2">
      <c r="A45" s="147"/>
      <c r="B45" s="147"/>
      <c r="C45" s="147"/>
      <c r="D45" s="147"/>
      <c r="E45" s="147"/>
      <c r="F45" s="154" t="s">
        <v>50</v>
      </c>
      <c r="G45" s="155" t="str">
        <f>IFERROR(HYPERLINK("#Labels!G"&amp;MATCH(F45,Labels!D:D,0),IF(INDEX(Labels!H:H,MATCH(F45,Labels!D:D,0))="Yes","Figure "&amp;INDEX(Labels!F:F,MATCH(F45,Labels!D:D,0))&amp;" -  "&amp;INDEX(Labels!G:G,MATCH(F45,Labels!D:D,0)),"Table "&amp;INDEX(Labels!F:F,MATCH(F45,Labels!D:D,0))&amp;" -  "&amp;INDEX(Labels!G:G,MATCH(F45,Labels!D:D,0)))),"[Not found: "&amp;F45&amp;"]")</f>
        <v>Table 48 -  Albumin (g/dL): n(%) of participants with normal/abnormal results and descriptive statistics - ITT population</v>
      </c>
      <c r="H45" s="159"/>
      <c r="I45" s="147"/>
    </row>
    <row r="46" spans="1:9" ht="32" x14ac:dyDescent="0.2">
      <c r="A46" s="147"/>
      <c r="B46" s="147"/>
      <c r="C46" s="147"/>
      <c r="D46" s="147"/>
      <c r="E46" s="147"/>
      <c r="F46" s="154" t="s">
        <v>51</v>
      </c>
      <c r="G46" s="157" t="str">
        <f>IFERROR(HYPERLINK("#Labels!G"&amp;MATCH(F46,Labels!D:D,0),IF(INDEX(Labels!H:H,MATCH(F46,Labels!D:D,0))="Yes","Figure "&amp;INDEX(Labels!F:F,MATCH(F46,Labels!D:D,0))&amp;" -  "&amp;INDEX(Labels!G:G,MATCH(F46,Labels!D:D,0)),"Table "&amp;INDEX(Labels!F:F,MATCH(F46,Labels!D:D,0))&amp;" -  "&amp;INDEX(Labels!G:G,MATCH(F46,Labels!D:D,0)))),"[Not found: "&amp;F46&amp;"]")</f>
        <v>Table 49 -  Total protein (g/dL) n (%) of participants with normal/abnormal results and descriptive statistics  -  ITT population</v>
      </c>
      <c r="H46" s="160"/>
      <c r="I46" s="147"/>
    </row>
    <row r="47" spans="1:9" ht="16" x14ac:dyDescent="0.2">
      <c r="A47" s="147"/>
      <c r="B47" s="147"/>
      <c r="C47" s="147"/>
      <c r="D47" s="147"/>
      <c r="E47" s="147"/>
      <c r="F47" s="154" t="s">
        <v>52</v>
      </c>
      <c r="G47" s="155" t="str">
        <f>IFERROR(HYPERLINK("#Labels!G"&amp;MATCH(F47,Labels!D:D,0),IF(INDEX(Labels!H:H,MATCH(F47,Labels!D:D,0))="Yes","Figure "&amp;INDEX(Labels!F:F,MATCH(F47,Labels!D:D,0))&amp;" -  "&amp;INDEX(Labels!G:G,MATCH(F47,Labels!D:D,0)),"Table "&amp;INDEX(Labels!F:F,MATCH(F47,Labels!D:D,0))&amp;" -  "&amp;INDEX(Labels!G:G,MATCH(F47,Labels!D:D,0)))),"[Not found: "&amp;F47&amp;"]")</f>
        <v>Table 50 -  ECG at baseline - ITT population</v>
      </c>
      <c r="H47" s="156" t="str">
        <f>HYPERLINK("#'sec2_ecg'!A1","Open →")</f>
        <v>Open →</v>
      </c>
      <c r="I47" s="147"/>
    </row>
    <row r="48" spans="1:9" ht="16" x14ac:dyDescent="0.2">
      <c r="A48" s="147"/>
      <c r="B48" s="147"/>
      <c r="C48" s="147"/>
      <c r="D48" s="147"/>
      <c r="E48" s="147"/>
      <c r="F48" s="154" t="s">
        <v>54</v>
      </c>
      <c r="G48" s="157" t="str">
        <f>IFERROR(HYPERLINK("#Labels!G"&amp;MATCH(F48,Labels!D:D,0),IF(INDEX(Labels!H:H,MATCH(F48,Labels!D:D,0))="Yes","Figure "&amp;INDEX(Labels!F:F,MATCH(F48,Labels!D:D,0))&amp;" -  "&amp;INDEX(Labels!G:G,MATCH(F48,Labels!D:D,0)),"Table "&amp;INDEX(Labels!F:F,MATCH(F48,Labels!D:D,0))&amp;" -  "&amp;INDEX(Labels!G:G,MATCH(F48,Labels!D:D,0)))),"[Not found: "&amp;F48&amp;"]")</f>
        <v>Table 51 -  Participants with a deviation during the treatment administration - ITT population</v>
      </c>
      <c r="H48" s="158" t="str">
        <f>HYPERLINK("#'sec3_patdev1'!A1","Open →")</f>
        <v>Open →</v>
      </c>
      <c r="I48" s="147"/>
    </row>
    <row r="49" spans="1:9" ht="16" x14ac:dyDescent="0.2">
      <c r="A49" s="147"/>
      <c r="B49" s="147"/>
      <c r="C49" s="147"/>
      <c r="D49" s="147"/>
      <c r="E49" s="147"/>
      <c r="F49" s="154" t="s">
        <v>55</v>
      </c>
      <c r="G49" s="155" t="str">
        <f>IFERROR(HYPERLINK("#Labels!G"&amp;MATCH(F49,Labels!D:D,0),IF(INDEX(Labels!H:H,MATCH(F49,Labels!D:D,0))="Yes","Figure "&amp;INDEX(Labels!F:F,MATCH(F49,Labels!D:D,0))&amp;" -  "&amp;INDEX(Labels!G:G,MATCH(F49,Labels!D:D,0)),"Table "&amp;INDEX(Labels!F:F,MATCH(F49,Labels!D:D,0))&amp;" -  "&amp;INDEX(Labels!G:G,MATCH(F49,Labels!D:D,0)))),"[Not found: "&amp;F49&amp;"]")</f>
        <v>Table 52 -  Participants with at least one re-administration of the treatment - ITT population</v>
      </c>
      <c r="H49" s="156" t="str">
        <f>HYPERLINK("#'sec3_patdev2'!A1","Open →")</f>
        <v>Open →</v>
      </c>
      <c r="I49" s="147"/>
    </row>
    <row r="50" spans="1:9" ht="32" x14ac:dyDescent="0.2">
      <c r="A50" s="147"/>
      <c r="B50" s="147"/>
      <c r="C50" s="147"/>
      <c r="D50" s="147"/>
      <c r="E50" s="147"/>
      <c r="F50" s="154" t="s">
        <v>58</v>
      </c>
      <c r="G50" s="157" t="str">
        <f>IFERROR(HYPERLINK("#Labels!G"&amp;MATCH(F50,Labels!D:D,0),IF(INDEX(Labels!H:H,MATCH(F50,Labels!D:D,0))="Yes","Figure "&amp;INDEX(Labels!F:F,MATCH(F50,Labels!D:D,0))&amp;" -  "&amp;INDEX(Labels!G:G,MATCH(F50,Labels!D:D,0)),"Table "&amp;INDEX(Labels!F:F,MATCH(F50,Labels!D:D,0))&amp;" -  "&amp;INDEX(Labels!G:G,MATCH(F50,Labels!D:D,0)))),"[Not found: "&amp;F50&amp;"]")</f>
        <v>Table 53 -  N (%) of death possibly related to r-HAT or to Fexinidazole up to the end of hospitalisation – stage 2 r-HAT participants in the evaluable population</v>
      </c>
      <c r="H50" s="160"/>
      <c r="I50" s="147"/>
    </row>
    <row r="51" spans="1:9" ht="32" x14ac:dyDescent="0.2">
      <c r="A51" s="147"/>
      <c r="B51" s="147"/>
      <c r="C51" s="147"/>
      <c r="D51" s="147"/>
      <c r="E51" s="147"/>
      <c r="F51" s="154" t="s">
        <v>716</v>
      </c>
      <c r="G51" s="155" t="str">
        <f>IFERROR(HYPERLINK("#Labels!G"&amp;MATCH(F51,Labels!D:D,0),IF(INDEX(Labels!H:H,MATCH(F51,Labels!D:D,0))="Yes","Figure "&amp;INDEX(Labels!F:F,MATCH(F51,Labels!D:D,0))&amp;" -  "&amp;INDEX(Labels!G:G,MATCH(F51,Labels!D:D,0)),"Table "&amp;INDEX(Labels!F:F,MATCH(F51,Labels!D:D,0))&amp;" -  "&amp;INDEX(Labels!G:G,MATCH(F51,Labels!D:D,0)))),"[Not found: "&amp;F51&amp;"]")</f>
        <v>Table 54 -  Sensitivity analysis: N (%) of death possibly related to r-HAT or to Fexinidazole up to the end of hospitalisation – stage 2 r-HAT participants in the ITT population</v>
      </c>
      <c r="H51" s="159"/>
      <c r="I51" s="147"/>
    </row>
    <row r="52" spans="1:9" ht="32" x14ac:dyDescent="0.2">
      <c r="A52" s="147"/>
      <c r="B52" s="147"/>
      <c r="C52" s="147"/>
      <c r="D52" s="147"/>
      <c r="E52" s="147"/>
      <c r="F52" s="154" t="s">
        <v>59</v>
      </c>
      <c r="G52" s="157" t="str">
        <f>IFERROR(HYPERLINK("#Labels!G"&amp;MATCH(F52,Labels!D:D,0),IF(INDEX(Labels!H:H,MATCH(F52,Labels!D:D,0))="Yes","Figure "&amp;INDEX(Labels!F:F,MATCH(F52,Labels!D:D,0))&amp;" -  "&amp;INDEX(Labels!G:G,MATCH(F52,Labels!D:D,0)),"Table "&amp;INDEX(Labels!F:F,MATCH(F52,Labels!D:D,0))&amp;" -  "&amp;INDEX(Labels!G:G,MATCH(F52,Labels!D:D,0)))),"[Not found: "&amp;F52&amp;"]")</f>
        <v>Table 55 -  Sensitivity analysis: N (%) of death possibly related to r-HAT or to Fexinidazole up to the end of hospitalisation – stage 2 r-HAT participants in the completer population</v>
      </c>
      <c r="H52" s="160"/>
      <c r="I52" s="147"/>
    </row>
    <row r="53" spans="1:9" ht="32" x14ac:dyDescent="0.2">
      <c r="A53" s="147"/>
      <c r="B53" s="147"/>
      <c r="C53" s="147"/>
      <c r="D53" s="147"/>
      <c r="E53" s="147"/>
      <c r="F53" s="154" t="s">
        <v>61</v>
      </c>
      <c r="G53" s="155" t="str">
        <f>IFERROR(HYPERLINK("#Labels!G"&amp;MATCH(F53,Labels!D:D,0),IF(INDEX(Labels!H:H,MATCH(F53,Labels!D:D,0))="Yes","Figure "&amp;INDEX(Labels!F:F,MATCH(F53,Labels!D:D,0))&amp;" -  "&amp;INDEX(Labels!G:G,MATCH(F53,Labels!D:D,0)),"Table "&amp;INDEX(Labels!F:F,MATCH(F53,Labels!D:D,0))&amp;" -  "&amp;INDEX(Labels!G:G,MATCH(F53,Labels!D:D,0)))),"[Not found: "&amp;F53&amp;"]")</f>
        <v>Table 56 -  N (%) of relapse and earliest time to detect the relapse - stage 1 and stage 2 r-HAT participants in the ITT population</v>
      </c>
      <c r="H53" s="159"/>
      <c r="I53" s="147"/>
    </row>
    <row r="54" spans="1:9" ht="32" x14ac:dyDescent="0.2">
      <c r="A54" s="147"/>
      <c r="B54" s="147"/>
      <c r="C54" s="147"/>
      <c r="D54" s="147"/>
      <c r="E54" s="147"/>
      <c r="F54" s="154" t="s">
        <v>62</v>
      </c>
      <c r="G54" s="157" t="str">
        <f>IFERROR(HYPERLINK("#Labels!G"&amp;MATCH(F54,Labels!D:D,0),IF(INDEX(Labels!H:H,MATCH(F54,Labels!D:D,0))="Yes","Figure "&amp;INDEX(Labels!F:F,MATCH(F54,Labels!D:D,0))&amp;" -  "&amp;INDEX(Labels!G:G,MATCH(F54,Labels!D:D,0)),"Table "&amp;INDEX(Labels!F:F,MATCH(F54,Labels!D:D,0))&amp;" -  "&amp;INDEX(Labels!G:G,MATCH(F54,Labels!D:D,0)))),"[Not found: "&amp;F54&amp;"]")</f>
        <v>Table 57 -  Confidence Intervals of relapse and earliest time to detect the relapse - stage 1 and stage 2 r-HAT participants in the ITT population</v>
      </c>
      <c r="H54" s="160"/>
      <c r="I54" s="147"/>
    </row>
    <row r="55" spans="1:9" ht="16" x14ac:dyDescent="0.2">
      <c r="A55" s="147"/>
      <c r="B55" s="147"/>
      <c r="C55" s="147"/>
      <c r="D55" s="147"/>
      <c r="E55" s="147"/>
      <c r="F55" s="154" t="s">
        <v>63</v>
      </c>
      <c r="G55" s="155" t="str">
        <f>IFERROR(HYPERLINK("#Labels!G"&amp;MATCH(F55,Labels!D:D,0),IF(INDEX(Labels!H:H,MATCH(F55,Labels!D:D,0))="Yes","Figure "&amp;INDEX(Labels!F:F,MATCH(F55,Labels!D:D,0))&amp;" -  "&amp;INDEX(Labels!G:G,MATCH(F55,Labels!D:D,0)),"Table "&amp;INDEX(Labels!F:F,MATCH(F55,Labels!D:D,0))&amp;" -  "&amp;INDEX(Labels!G:G,MATCH(F55,Labels!D:D,0)))),"[Not found: "&amp;F55&amp;"]")</f>
        <v>Table 58 -  Value of WBC in CSF at baseline and follow-up visits – ITT population</v>
      </c>
      <c r="H55" s="156" t="str">
        <f>HYPERLINK("#'sec4_wbc'!A1","Open →")</f>
        <v>Open →</v>
      </c>
      <c r="I55" s="147"/>
    </row>
    <row r="56" spans="1:9" ht="16" x14ac:dyDescent="0.2">
      <c r="A56" s="147"/>
      <c r="B56" s="147"/>
      <c r="C56" s="147"/>
      <c r="D56" s="147"/>
      <c r="E56" s="147"/>
      <c r="F56" s="154" t="s">
        <v>66</v>
      </c>
      <c r="G56" s="157" t="str">
        <f>IFERROR(HYPERLINK("#Labels!G"&amp;MATCH(F56,Labels!D:D,0),IF(INDEX(Labels!H:H,MATCH(F56,Labels!D:D,0))="Yes","Figure "&amp;INDEX(Labels!F:F,MATCH(F56,Labels!D:D,0))&amp;" -  "&amp;INDEX(Labels!G:G,MATCH(F56,Labels!D:D,0)),"Table "&amp;INDEX(Labels!F:F,MATCH(F56,Labels!D:D,0))&amp;" -  "&amp;INDEX(Labels!G:G,MATCH(F56,Labels!D:D,0)))),"[Not found: "&amp;F56&amp;"]")</f>
        <v>Table 59 -  Presence of signs and symptoms of HAT at screening, EoH and each FU visits– safety population</v>
      </c>
      <c r="H56" s="158" t="str">
        <f>HYPERLINK("#'sec5_ssrhat'!A1","Open →")</f>
        <v>Open →</v>
      </c>
      <c r="I56" s="147"/>
    </row>
    <row r="57" spans="1:9" ht="16" x14ac:dyDescent="0.2">
      <c r="A57" s="147"/>
      <c r="B57" s="147"/>
      <c r="C57" s="147"/>
      <c r="D57" s="147"/>
      <c r="E57" s="147"/>
      <c r="F57" s="154" t="s">
        <v>302</v>
      </c>
      <c r="G57" s="155" t="str">
        <f>IFERROR(HYPERLINK("#Labels!G"&amp;MATCH(F57,Labels!D:D,0),IF(INDEX(Labels!H:H,MATCH(F57,Labels!D:D,0))="Yes","Figure "&amp;INDEX(Labels!F:F,MATCH(F57,Labels!D:D,0))&amp;" -  "&amp;INDEX(Labels!G:G,MATCH(F57,Labels!D:D,0)),"Table "&amp;INDEX(Labels!F:F,MATCH(F57,Labels!D:D,0))&amp;" -  "&amp;INDEX(Labels!G:G,MATCH(F57,Labels!D:D,0)))),"[Not found: "&amp;F57&amp;"]")</f>
        <v>Table 60 -  Presence of other signs and symptoms of HAT at screening, EoH and each FU visits– safety population</v>
      </c>
      <c r="H57" s="159"/>
      <c r="I57" s="147"/>
    </row>
    <row r="58" spans="1:9" ht="16" x14ac:dyDescent="0.2">
      <c r="A58" s="147"/>
      <c r="B58" s="147"/>
      <c r="C58" s="147"/>
      <c r="D58" s="147"/>
      <c r="E58" s="147"/>
      <c r="F58" s="154" t="s">
        <v>69</v>
      </c>
      <c r="G58" s="157" t="str">
        <f>IFERROR(HYPERLINK("#Labels!G"&amp;MATCH(F58,Labels!D:D,0),IF(INDEX(Labels!H:H,MATCH(F58,Labels!D:D,0))="Yes","Figure "&amp;INDEX(Labels!F:F,MATCH(F58,Labels!D:D,0))&amp;" -  "&amp;INDEX(Labels!G:G,MATCH(F58,Labels!D:D,0)),"Table "&amp;INDEX(Labels!F:F,MATCH(F58,Labels!D:D,0))&amp;" -  "&amp;INDEX(Labels!G:G,MATCH(F58,Labels!D:D,0)))),"[Not found: "&amp;F58&amp;"]")</f>
        <v>Table 61 -  ECG results at baseline and subsequent visits– safety population</v>
      </c>
      <c r="H58" s="160"/>
      <c r="I58" s="147"/>
    </row>
    <row r="59" spans="1:9" ht="32" x14ac:dyDescent="0.2">
      <c r="A59" s="147"/>
      <c r="B59" s="147"/>
      <c r="C59" s="147"/>
      <c r="D59" s="147"/>
      <c r="E59" s="147"/>
      <c r="F59" s="154" t="s">
        <v>327</v>
      </c>
      <c r="G59" s="155" t="str">
        <f>IFERROR(HYPERLINK("#Labels!G"&amp;MATCH(F59,Labels!D:D,0),IF(INDEX(Labels!H:H,MATCH(F59,Labels!D:D,0))="Yes","Figure "&amp;INDEX(Labels!F:F,MATCH(F59,Labels!D:D,0))&amp;" -  "&amp;INDEX(Labels!G:G,MATCH(F59,Labels!D:D,0)),"Table "&amp;INDEX(Labels!F:F,MATCH(F59,Labels!D:D,0))&amp;" -  "&amp;INDEX(Labels!G:G,MATCH(F59,Labels!D:D,0)))),"[Not found: "&amp;F59&amp;"]")</f>
        <v>Table 62 -  Laboratory parameters: n (%) of participants with normal/abnormal results and descriptive statistics at baseline and subsequent visits for Hemoglobin – male in safety population (g/dL)</v>
      </c>
      <c r="H59" s="159"/>
      <c r="I59" s="147"/>
    </row>
    <row r="60" spans="1:9" ht="16" x14ac:dyDescent="0.2">
      <c r="A60" s="147"/>
      <c r="B60" s="147"/>
      <c r="C60" s="147"/>
      <c r="D60" s="147"/>
      <c r="E60" s="147"/>
      <c r="F60" s="196" t="s">
        <v>379</v>
      </c>
      <c r="G60" s="197" t="str">
        <f>IFERROR(HYPERLINK("#Labels!G"&amp;MATCH(F60,Labels!D:D,0),IF(INDEX(Labels!H:H,MATCH(F60,Labels!D:D,0))="Yes","Figure "&amp;INDEX(Labels!F:F,MATCH(F60,Labels!D:D,0))&amp;" -  "&amp;INDEX(Labels!G:G,MATCH(F60,Labels!D:D,0)),"Table "&amp;INDEX(Labels!F:F,MATCH(F60,Labels!D:D,0))&amp;" -  "&amp;INDEX(Labels!G:G,MATCH(F60,Labels!D:D,0)))),"[Not found: "&amp;F60&amp;"]")</f>
        <v>Figure 63 -  Shift plot comparing Hemoglobin baseline values with EOT values - male in safety population</v>
      </c>
      <c r="H60" s="198"/>
      <c r="I60" s="147"/>
    </row>
    <row r="61" spans="1:9" ht="16" x14ac:dyDescent="0.2">
      <c r="A61" s="147"/>
      <c r="B61" s="147"/>
      <c r="C61" s="147"/>
      <c r="D61" s="147"/>
      <c r="E61" s="147"/>
      <c r="F61" s="199" t="s">
        <v>380</v>
      </c>
      <c r="G61" s="200" t="str">
        <f>IFERROR(HYPERLINK("#Labels!G"&amp;MATCH(F61,Labels!D:D,0),IF(INDEX(Labels!H:H,MATCH(F61,Labels!D:D,0))="Yes","Figure "&amp;INDEX(Labels!F:F,MATCH(F61,Labels!D:D,0))&amp;" -  "&amp;INDEX(Labels!G:G,MATCH(F61,Labels!D:D,0)),"Table "&amp;INDEX(Labels!F:F,MATCH(F61,Labels!D:D,0))&amp;" -  "&amp;INDEX(Labels!G:G,MATCH(F61,Labels!D:D,0)))),"[Not found: "&amp;F61&amp;"]")</f>
        <v>Figure 64 -  Shift plot comparing Hemoglobin baseline values with M3 values - male in safety population</v>
      </c>
      <c r="H61" s="201"/>
      <c r="I61" s="147"/>
    </row>
    <row r="62" spans="1:9" ht="32" x14ac:dyDescent="0.2">
      <c r="A62" s="147"/>
      <c r="B62" s="147"/>
      <c r="C62" s="147"/>
      <c r="D62" s="147"/>
      <c r="E62" s="147"/>
      <c r="F62" s="154" t="s">
        <v>328</v>
      </c>
      <c r="G62" s="157" t="str">
        <f>IFERROR(HYPERLINK("#Labels!G"&amp;MATCH(F62,Labels!D:D,0),IF(INDEX(Labels!H:H,MATCH(F62,Labels!D:D,0))="Yes","Figure "&amp;INDEX(Labels!F:F,MATCH(F62,Labels!D:D,0))&amp;" -  "&amp;INDEX(Labels!G:G,MATCH(F62,Labels!D:D,0)),"Table "&amp;INDEX(Labels!F:F,MATCH(F62,Labels!D:D,0))&amp;" -  "&amp;INDEX(Labels!G:G,MATCH(F62,Labels!D:D,0)))),"[Not found: "&amp;F62&amp;"]")</f>
        <v>Table 67 -  Laboratory parameters: n (%) of participants with normal/abnormal results and descriptive statistics at baseline and subsequent visits for Hemoglobin – female in safety population (g / dL)</v>
      </c>
      <c r="H62" s="160"/>
      <c r="I62" s="147"/>
    </row>
    <row r="63" spans="1:9" ht="16" x14ac:dyDescent="0.2">
      <c r="A63" s="147"/>
      <c r="B63" s="147"/>
      <c r="C63" s="147"/>
      <c r="D63" s="147"/>
      <c r="E63" s="147"/>
      <c r="F63" s="199" t="s">
        <v>381</v>
      </c>
      <c r="G63" s="200" t="str">
        <f>IFERROR(HYPERLINK("#Labels!G"&amp;MATCH(F63,Labels!D:D,0),IF(INDEX(Labels!H:H,MATCH(F63,Labels!D:D,0))="Yes","Figure "&amp;INDEX(Labels!F:F,MATCH(F63,Labels!D:D,0))&amp;" -  "&amp;INDEX(Labels!G:G,MATCH(F63,Labels!D:D,0)),"Table "&amp;INDEX(Labels!F:F,MATCH(F63,Labels!D:D,0))&amp;" -  "&amp;INDEX(Labels!G:G,MATCH(F63,Labels!D:D,0)))),"[Not found: "&amp;F63&amp;"]")</f>
        <v>Figure 68 -  Shift plot comparing Hemoglobin baseline values with EOT values - female in safety population</v>
      </c>
      <c r="H63" s="201"/>
      <c r="I63" s="147"/>
    </row>
    <row r="64" spans="1:9" ht="16" x14ac:dyDescent="0.2">
      <c r="A64" s="147"/>
      <c r="B64" s="147"/>
      <c r="C64" s="147"/>
      <c r="D64" s="147"/>
      <c r="E64" s="147"/>
      <c r="F64" s="196" t="s">
        <v>382</v>
      </c>
      <c r="G64" s="197" t="str">
        <f>IFERROR(HYPERLINK("#Labels!G"&amp;MATCH(F64,Labels!D:D,0),IF(INDEX(Labels!H:H,MATCH(F64,Labels!D:D,0))="Yes","Figure "&amp;INDEX(Labels!F:F,MATCH(F64,Labels!D:D,0))&amp;" -  "&amp;INDEX(Labels!G:G,MATCH(F64,Labels!D:D,0)),"Table "&amp;INDEX(Labels!F:F,MATCH(F64,Labels!D:D,0))&amp;" -  "&amp;INDEX(Labels!G:G,MATCH(F64,Labels!D:D,0)))),"[Not found: "&amp;F64&amp;"]")</f>
        <v>Figure 69 -  Shift plot comparing Hemoglobin baseline values with M3 values - female in safety population</v>
      </c>
      <c r="H64" s="198"/>
      <c r="I64" s="147"/>
    </row>
    <row r="65" spans="1:9" ht="32" x14ac:dyDescent="0.2">
      <c r="A65" s="147"/>
      <c r="B65" s="147"/>
      <c r="C65" s="147"/>
      <c r="D65" s="147"/>
      <c r="E65" s="147"/>
      <c r="F65" s="154" t="s">
        <v>74</v>
      </c>
      <c r="G65" s="155" t="str">
        <f>IFERROR(HYPERLINK("#Labels!G"&amp;MATCH(F65,Labels!D:D,0),IF(INDEX(Labels!H:H,MATCH(F65,Labels!D:D,0))="Yes","Figure "&amp;INDEX(Labels!F:F,MATCH(F65,Labels!D:D,0))&amp;" -  "&amp;INDEX(Labels!G:G,MATCH(F65,Labels!D:D,0)),"Table "&amp;INDEX(Labels!F:F,MATCH(F65,Labels!D:D,0))&amp;" -  "&amp;INDEX(Labels!G:G,MATCH(F65,Labels!D:D,0)))),"[Not found: "&amp;F65&amp;"]")</f>
        <v>Table 72 -  Laboratory parameters: n (%) of participants with normal/abnormal results and descriptive statistics at baseline and subsequent visits for Platelets – safety population</v>
      </c>
      <c r="H65" s="159"/>
      <c r="I65" s="147"/>
    </row>
    <row r="66" spans="1:9" ht="16" x14ac:dyDescent="0.2">
      <c r="A66" s="147"/>
      <c r="B66" s="147"/>
      <c r="C66" s="147"/>
      <c r="D66" s="147"/>
      <c r="E66" s="147"/>
      <c r="F66" s="196" t="s">
        <v>345</v>
      </c>
      <c r="G66" s="197" t="str">
        <f>IFERROR(HYPERLINK("#Labels!G"&amp;MATCH(F66,Labels!D:D,0),IF(INDEX(Labels!H:H,MATCH(F66,Labels!D:D,0))="Yes","Figure "&amp;INDEX(Labels!F:F,MATCH(F66,Labels!D:D,0))&amp;" -  "&amp;INDEX(Labels!G:G,MATCH(F66,Labels!D:D,0)),"Table "&amp;INDEX(Labels!F:F,MATCH(F66,Labels!D:D,0))&amp;" -  "&amp;INDEX(Labels!G:G,MATCH(F66,Labels!D:D,0)))),"[Not found: "&amp;F66&amp;"]")</f>
        <v>Figure 73 -  Shift plot comparing platelet baseline values with EOT values - safety population</v>
      </c>
      <c r="H66" s="198"/>
      <c r="I66" s="147"/>
    </row>
    <row r="67" spans="1:9" ht="16" x14ac:dyDescent="0.2">
      <c r="A67" s="147"/>
      <c r="B67" s="147"/>
      <c r="C67" s="147"/>
      <c r="D67" s="147"/>
      <c r="E67" s="147"/>
      <c r="F67" s="199" t="s">
        <v>329</v>
      </c>
      <c r="G67" s="200" t="str">
        <f>IFERROR(HYPERLINK("#Labels!G"&amp;MATCH(F67,Labels!D:D,0),IF(INDEX(Labels!H:H,MATCH(F67,Labels!D:D,0))="Yes","Figure "&amp;INDEX(Labels!F:F,MATCH(F67,Labels!D:D,0))&amp;" -  "&amp;INDEX(Labels!G:G,MATCH(F67,Labels!D:D,0)),"Table "&amp;INDEX(Labels!F:F,MATCH(F67,Labels!D:D,0))&amp;" -  "&amp;INDEX(Labels!G:G,MATCH(F67,Labels!D:D,0)))),"[Not found: "&amp;F67&amp;"]")</f>
        <v>Figure 74 -  Shift plot comparing platelet baseline values with M3 values - safety population</v>
      </c>
      <c r="H67" s="201"/>
      <c r="I67" s="147"/>
    </row>
    <row r="68" spans="1:9" ht="32" x14ac:dyDescent="0.2">
      <c r="A68" s="147"/>
      <c r="B68" s="147"/>
      <c r="C68" s="147"/>
      <c r="D68" s="147"/>
      <c r="E68" s="147"/>
      <c r="F68" s="154" t="s">
        <v>76</v>
      </c>
      <c r="G68" s="157" t="str">
        <f>IFERROR(HYPERLINK("#Labels!G"&amp;MATCH(F68,Labels!D:D,0),IF(INDEX(Labels!H:H,MATCH(F68,Labels!D:D,0))="Yes","Figure "&amp;INDEX(Labels!F:F,MATCH(F68,Labels!D:D,0))&amp;" -  "&amp;INDEX(Labels!G:G,MATCH(F68,Labels!D:D,0)),"Table "&amp;INDEX(Labels!F:F,MATCH(F68,Labels!D:D,0))&amp;" -  "&amp;INDEX(Labels!G:G,MATCH(F68,Labels!D:D,0)))),"[Not found: "&amp;F68&amp;"]")</f>
        <v>Table 77 -  Leukocytes (10^3/µl): n (%) of participants with normal/abnormal results and descriptive statistics at baseline and subsequent visits– safety population</v>
      </c>
      <c r="H68" s="160"/>
      <c r="I68" s="147"/>
    </row>
    <row r="69" spans="1:9" ht="16" x14ac:dyDescent="0.2">
      <c r="A69" s="147"/>
      <c r="B69" s="147"/>
      <c r="C69" s="147"/>
      <c r="D69" s="147"/>
      <c r="E69" s="147"/>
      <c r="F69" s="199" t="s">
        <v>346</v>
      </c>
      <c r="G69" s="200" t="str">
        <f>IFERROR(HYPERLINK("#Labels!G"&amp;MATCH(F69,Labels!D:D,0),IF(INDEX(Labels!H:H,MATCH(F69,Labels!D:D,0))="Yes","Figure "&amp;INDEX(Labels!F:F,MATCH(F69,Labels!D:D,0))&amp;" -  "&amp;INDEX(Labels!G:G,MATCH(F69,Labels!D:D,0)),"Table "&amp;INDEX(Labels!F:F,MATCH(F69,Labels!D:D,0))&amp;" -  "&amp;INDEX(Labels!G:G,MATCH(F69,Labels!D:D,0)))),"[Not found: "&amp;F69&amp;"]")</f>
        <v>Figure 78 -  Shift plot comparing leukocyte baseline values with EOT values - safety population</v>
      </c>
      <c r="H69" s="201"/>
      <c r="I69" s="147"/>
    </row>
    <row r="70" spans="1:9" ht="16" x14ac:dyDescent="0.2">
      <c r="A70" s="147"/>
      <c r="B70" s="147"/>
      <c r="C70" s="147"/>
      <c r="D70" s="147"/>
      <c r="E70" s="147"/>
      <c r="F70" s="196" t="s">
        <v>330</v>
      </c>
      <c r="G70" s="197" t="str">
        <f>IFERROR(HYPERLINK("#Labels!G"&amp;MATCH(F70,Labels!D:D,0),IF(INDEX(Labels!H:H,MATCH(F70,Labels!D:D,0))="Yes","Figure "&amp;INDEX(Labels!F:F,MATCH(F70,Labels!D:D,0))&amp;" -  "&amp;INDEX(Labels!G:G,MATCH(F70,Labels!D:D,0)),"Table "&amp;INDEX(Labels!F:F,MATCH(F70,Labels!D:D,0))&amp;" -  "&amp;INDEX(Labels!G:G,MATCH(F70,Labels!D:D,0)))),"[Not found: "&amp;F70&amp;"]")</f>
        <v>Figure 79 -  Shift plot comparing leukocyte baseline values with M3 values - safety population</v>
      </c>
      <c r="H70" s="198"/>
      <c r="I70" s="147"/>
    </row>
    <row r="71" spans="1:9" ht="32" x14ac:dyDescent="0.2">
      <c r="A71" s="147"/>
      <c r="B71" s="147"/>
      <c r="C71" s="147"/>
      <c r="D71" s="147"/>
      <c r="E71" s="147"/>
      <c r="F71" s="154" t="s">
        <v>78</v>
      </c>
      <c r="G71" s="155" t="str">
        <f>IFERROR(HYPERLINK("#Labels!G"&amp;MATCH(F71,Labels!D:D,0),IF(INDEX(Labels!H:H,MATCH(F71,Labels!D:D,0))="Yes","Figure "&amp;INDEX(Labels!F:F,MATCH(F71,Labels!D:D,0))&amp;" -  "&amp;INDEX(Labels!G:G,MATCH(F71,Labels!D:D,0)),"Table "&amp;INDEX(Labels!F:F,MATCH(F71,Labels!D:D,0))&amp;" -  "&amp;INDEX(Labels!G:G,MATCH(F71,Labels!D:D,0)))),"[Not found: "&amp;F71&amp;"]")</f>
        <v>Table 107 -  Sodium (mmol/L): n (%) of participants with normal/abnormal results and descriptive statistics at baseline and subsequent visits – safety population</v>
      </c>
      <c r="H71" s="159"/>
      <c r="I71" s="147"/>
    </row>
    <row r="72" spans="1:9" ht="16" x14ac:dyDescent="0.2">
      <c r="A72" s="147"/>
      <c r="B72" s="147"/>
      <c r="C72" s="147"/>
      <c r="D72" s="147"/>
      <c r="E72" s="147"/>
      <c r="F72" s="196" t="s">
        <v>347</v>
      </c>
      <c r="G72" s="197" t="str">
        <f>IFERROR(HYPERLINK("#Labels!G"&amp;MATCH(F72,Labels!D:D,0),IF(INDEX(Labels!H:H,MATCH(F72,Labels!D:D,0))="Yes","Figure "&amp;INDEX(Labels!F:F,MATCH(F72,Labels!D:D,0))&amp;" -  "&amp;INDEX(Labels!G:G,MATCH(F72,Labels!D:D,0)),"Table "&amp;INDEX(Labels!F:F,MATCH(F72,Labels!D:D,0))&amp;" -  "&amp;INDEX(Labels!G:G,MATCH(F72,Labels!D:D,0)))),"[Not found: "&amp;F72&amp;"]")</f>
        <v>Figure 108 -  Shift plot comparing sodium baseline values with EOT values - safety population</v>
      </c>
      <c r="H72" s="198"/>
      <c r="I72" s="147"/>
    </row>
    <row r="73" spans="1:9" ht="16" x14ac:dyDescent="0.2">
      <c r="A73" s="147"/>
      <c r="B73" s="147"/>
      <c r="C73" s="147"/>
      <c r="D73" s="147"/>
      <c r="E73" s="147"/>
      <c r="F73" s="199" t="s">
        <v>331</v>
      </c>
      <c r="G73" s="200" t="str">
        <f>IFERROR(HYPERLINK("#Labels!G"&amp;MATCH(F73,Labels!D:D,0),IF(INDEX(Labels!H:H,MATCH(F73,Labels!D:D,0))="Yes","Figure "&amp;INDEX(Labels!F:F,MATCH(F73,Labels!D:D,0))&amp;" -  "&amp;INDEX(Labels!G:G,MATCH(F73,Labels!D:D,0)),"Table "&amp;INDEX(Labels!F:F,MATCH(F73,Labels!D:D,0))&amp;" -  "&amp;INDEX(Labels!G:G,MATCH(F73,Labels!D:D,0)))),"[Not found: "&amp;F73&amp;"]")</f>
        <v>Figure 109 -  Shift plot comparing sodium baseline values with M3 values - safety population</v>
      </c>
      <c r="H73" s="201"/>
      <c r="I73" s="147"/>
    </row>
    <row r="74" spans="1:9" ht="32" x14ac:dyDescent="0.2">
      <c r="A74" s="147"/>
      <c r="B74" s="147"/>
      <c r="C74" s="147"/>
      <c r="D74" s="147"/>
      <c r="E74" s="147"/>
      <c r="F74" s="154" t="s">
        <v>80</v>
      </c>
      <c r="G74" s="157" t="str">
        <f>IFERROR(HYPERLINK("#Labels!G"&amp;MATCH(F74,Labels!D:D,0),IF(INDEX(Labels!H:H,MATCH(F74,Labels!D:D,0))="Yes","Figure "&amp;INDEX(Labels!F:F,MATCH(F74,Labels!D:D,0))&amp;" -  "&amp;INDEX(Labels!G:G,MATCH(F74,Labels!D:D,0)),"Table "&amp;INDEX(Labels!F:F,MATCH(F74,Labels!D:D,0))&amp;" -  "&amp;INDEX(Labels!G:G,MATCH(F74,Labels!D:D,0)))),"[Not found: "&amp;F74&amp;"]")</f>
        <v>Table 112 -   Potassium (mmol/L): n (%) of participants with normal/abnormal results and descriptive statistics at baseline and subsequent visits – safety population</v>
      </c>
      <c r="H74" s="160"/>
      <c r="I74" s="147"/>
    </row>
    <row r="75" spans="1:9" ht="16" x14ac:dyDescent="0.2">
      <c r="A75" s="147"/>
      <c r="B75" s="147"/>
      <c r="C75" s="147"/>
      <c r="D75" s="147"/>
      <c r="E75" s="147"/>
      <c r="F75" s="199" t="s">
        <v>348</v>
      </c>
      <c r="G75" s="200" t="str">
        <f>IFERROR(HYPERLINK("#Labels!G"&amp;MATCH(F75,Labels!D:D,0),IF(INDEX(Labels!H:H,MATCH(F75,Labels!D:D,0))="Yes","Figure "&amp;INDEX(Labels!F:F,MATCH(F75,Labels!D:D,0))&amp;" -  "&amp;INDEX(Labels!G:G,MATCH(F75,Labels!D:D,0)),"Table "&amp;INDEX(Labels!F:F,MATCH(F75,Labels!D:D,0))&amp;" -  "&amp;INDEX(Labels!G:G,MATCH(F75,Labels!D:D,0)))),"[Not found: "&amp;F75&amp;"]")</f>
        <v xml:space="preserve">Figure 113 -  Shift plot comparing potassium baseline values with EOT values - safety population </v>
      </c>
      <c r="H75" s="201"/>
      <c r="I75" s="147"/>
    </row>
    <row r="76" spans="1:9" ht="16" x14ac:dyDescent="0.2">
      <c r="A76" s="147"/>
      <c r="B76" s="147"/>
      <c r="C76" s="147"/>
      <c r="D76" s="147"/>
      <c r="E76" s="147"/>
      <c r="F76" s="196" t="s">
        <v>332</v>
      </c>
      <c r="G76" s="197" t="str">
        <f>IFERROR(HYPERLINK("#Labels!G"&amp;MATCH(F76,Labels!D:D,0),IF(INDEX(Labels!H:H,MATCH(F76,Labels!D:D,0))="Yes","Figure "&amp;INDEX(Labels!F:F,MATCH(F76,Labels!D:D,0))&amp;" -  "&amp;INDEX(Labels!G:G,MATCH(F76,Labels!D:D,0)),"Table "&amp;INDEX(Labels!F:F,MATCH(F76,Labels!D:D,0))&amp;" -  "&amp;INDEX(Labels!G:G,MATCH(F76,Labels!D:D,0)))),"[Not found: "&amp;F76&amp;"]")</f>
        <v>Figure 114 -  Shift plot comparing potassium baseline values with M3 values - safety population</v>
      </c>
      <c r="H76" s="198"/>
      <c r="I76" s="147"/>
    </row>
    <row r="77" spans="1:9" ht="32" x14ac:dyDescent="0.2">
      <c r="A77" s="147"/>
      <c r="B77" s="147"/>
      <c r="C77" s="147"/>
      <c r="D77" s="147"/>
      <c r="E77" s="147"/>
      <c r="F77" s="154" t="s">
        <v>82</v>
      </c>
      <c r="G77" s="155" t="str">
        <f>IFERROR(HYPERLINK("#Labels!G"&amp;MATCH(F77,Labels!D:D,0),IF(INDEX(Labels!H:H,MATCH(F77,Labels!D:D,0))="Yes","Figure "&amp;INDEX(Labels!F:F,MATCH(F77,Labels!D:D,0))&amp;" -  "&amp;INDEX(Labels!G:G,MATCH(F77,Labels!D:D,0)),"Table "&amp;INDEX(Labels!F:F,MATCH(F77,Labels!D:D,0))&amp;" -  "&amp;INDEX(Labels!G:G,MATCH(F77,Labels!D:D,0)))),"[Not found: "&amp;F77&amp;"]")</f>
        <v>Table 117 -  Bicarbonate (tCO2, mmol/L) : n (%) of participants with normal/abnormal results and descriptive statistics at baseline and subsequent visits for – safety population</v>
      </c>
      <c r="H77" s="159"/>
      <c r="I77" s="147"/>
    </row>
    <row r="78" spans="1:9" ht="16" x14ac:dyDescent="0.2">
      <c r="A78" s="147"/>
      <c r="B78" s="147"/>
      <c r="C78" s="147"/>
      <c r="D78" s="147"/>
      <c r="E78" s="147"/>
      <c r="F78" s="196" t="s">
        <v>349</v>
      </c>
      <c r="G78" s="197" t="str">
        <f>IFERROR(HYPERLINK("#Labels!G"&amp;MATCH(F78,Labels!D:D,0),IF(INDEX(Labels!H:H,MATCH(F78,Labels!D:D,0))="Yes","Figure "&amp;INDEX(Labels!F:F,MATCH(F78,Labels!D:D,0))&amp;" -  "&amp;INDEX(Labels!G:G,MATCH(F78,Labels!D:D,0)),"Table "&amp;INDEX(Labels!F:F,MATCH(F78,Labels!D:D,0))&amp;" -  "&amp;INDEX(Labels!G:G,MATCH(F78,Labels!D:D,0)))),"[Not found: "&amp;F78&amp;"]")</f>
        <v>Figure 118 -  Shift plot comparing bicarbonates baseline values with EOT values - safety population</v>
      </c>
      <c r="H78" s="198"/>
      <c r="I78" s="147"/>
    </row>
    <row r="79" spans="1:9" ht="16" x14ac:dyDescent="0.2">
      <c r="A79" s="147"/>
      <c r="B79" s="147"/>
      <c r="C79" s="147"/>
      <c r="D79" s="147"/>
      <c r="E79" s="147"/>
      <c r="F79" s="199" t="s">
        <v>333</v>
      </c>
      <c r="G79" s="200" t="str">
        <f>IFERROR(HYPERLINK("#Labels!G"&amp;MATCH(F79,Labels!D:D,0),IF(INDEX(Labels!H:H,MATCH(F79,Labels!D:D,0))="Yes","Figure "&amp;INDEX(Labels!F:F,MATCH(F79,Labels!D:D,0))&amp;" -  "&amp;INDEX(Labels!G:G,MATCH(F79,Labels!D:D,0)),"Table "&amp;INDEX(Labels!F:F,MATCH(F79,Labels!D:D,0))&amp;" -  "&amp;INDEX(Labels!G:G,MATCH(F79,Labels!D:D,0)))),"[Not found: "&amp;F79&amp;"]")</f>
        <v xml:space="preserve">Figure 119 -  Shift plot comparing bicarbonates baseline values with M3 values - safety population </v>
      </c>
      <c r="H79" s="201"/>
      <c r="I79" s="147"/>
    </row>
    <row r="80" spans="1:9" ht="32" x14ac:dyDescent="0.2">
      <c r="A80" s="147"/>
      <c r="B80" s="147"/>
      <c r="C80" s="147"/>
      <c r="D80" s="147"/>
      <c r="E80" s="147"/>
      <c r="F80" s="154" t="s">
        <v>84</v>
      </c>
      <c r="G80" s="157" t="str">
        <f>IFERROR(HYPERLINK("#Labels!G"&amp;MATCH(F80,Labels!D:D,0),IF(INDEX(Labels!H:H,MATCH(F80,Labels!D:D,0))="Yes","Figure "&amp;INDEX(Labels!F:F,MATCH(F80,Labels!D:D,0))&amp;" -  "&amp;INDEX(Labels!G:G,MATCH(F80,Labels!D:D,0)),"Table "&amp;INDEX(Labels!F:F,MATCH(F80,Labels!D:D,0))&amp;" -  "&amp;INDEX(Labels!G:G,MATCH(F80,Labels!D:D,0)))),"[Not found: "&amp;F80&amp;"]")</f>
        <v>Table 122 -  Chloride (mmol/L): n (%) of participants with normal/abnormal results and descriptive statistics at baseline and subsequent visits – safety population</v>
      </c>
      <c r="H80" s="160"/>
      <c r="I80" s="147"/>
    </row>
    <row r="81" spans="1:9" ht="16" x14ac:dyDescent="0.2">
      <c r="A81" s="147"/>
      <c r="B81" s="147"/>
      <c r="C81" s="147"/>
      <c r="D81" s="147"/>
      <c r="E81" s="147"/>
      <c r="F81" s="199" t="s">
        <v>350</v>
      </c>
      <c r="G81" s="200" t="str">
        <f>IFERROR(HYPERLINK("#Labels!G"&amp;MATCH(F81,Labels!D:D,0),IF(INDEX(Labels!H:H,MATCH(F81,Labels!D:D,0))="Yes","Figure "&amp;INDEX(Labels!F:F,MATCH(F81,Labels!D:D,0))&amp;" -  "&amp;INDEX(Labels!G:G,MATCH(F81,Labels!D:D,0)),"Table "&amp;INDEX(Labels!F:F,MATCH(F81,Labels!D:D,0))&amp;" -  "&amp;INDEX(Labels!G:G,MATCH(F81,Labels!D:D,0)))),"[Not found: "&amp;F81&amp;"]")</f>
        <v>Figure 123 -  Shift plot comparing chloride baseline values with EOT values - safety population</v>
      </c>
      <c r="H81" s="201"/>
      <c r="I81" s="147"/>
    </row>
    <row r="82" spans="1:9" ht="16" x14ac:dyDescent="0.2">
      <c r="A82" s="147"/>
      <c r="B82" s="147"/>
      <c r="C82" s="147"/>
      <c r="D82" s="147"/>
      <c r="E82" s="147"/>
      <c r="F82" s="196" t="s">
        <v>334</v>
      </c>
      <c r="G82" s="197" t="str">
        <f>IFERROR(HYPERLINK("#Labels!G"&amp;MATCH(F82,Labels!D:D,0),IF(INDEX(Labels!H:H,MATCH(F82,Labels!D:D,0))="Yes","Figure "&amp;INDEX(Labels!F:F,MATCH(F82,Labels!D:D,0))&amp;" -  "&amp;INDEX(Labels!G:G,MATCH(F82,Labels!D:D,0)),"Table "&amp;INDEX(Labels!F:F,MATCH(F82,Labels!D:D,0))&amp;" -  "&amp;INDEX(Labels!G:G,MATCH(F82,Labels!D:D,0)))),"[Not found: "&amp;F82&amp;"]")</f>
        <v>Figure 124 -  Shift plot comparing chloride baseline values with M3 values - safety population</v>
      </c>
      <c r="H82" s="198"/>
      <c r="I82" s="147"/>
    </row>
    <row r="83" spans="1:9" ht="32" x14ac:dyDescent="0.2">
      <c r="A83" s="147"/>
      <c r="B83" s="147"/>
      <c r="C83" s="147"/>
      <c r="D83" s="147"/>
      <c r="E83" s="147"/>
      <c r="F83" s="154" t="s">
        <v>86</v>
      </c>
      <c r="G83" s="155" t="str">
        <f>IFERROR(HYPERLINK("#Labels!G"&amp;MATCH(F83,Labels!D:D,0),IF(INDEX(Labels!H:H,MATCH(F83,Labels!D:D,0))="Yes","Figure "&amp;INDEX(Labels!F:F,MATCH(F83,Labels!D:D,0))&amp;" -  "&amp;INDEX(Labels!G:G,MATCH(F83,Labels!D:D,0)),"Table "&amp;INDEX(Labels!F:F,MATCH(F83,Labels!D:D,0))&amp;" -  "&amp;INDEX(Labels!G:G,MATCH(F83,Labels!D:D,0)))),"[Not found: "&amp;F83&amp;"]")</f>
        <v>Table 127 -   Glucose (mmol/L): n (%) of participants with normal/abnormal results and descriptive statistics at baseline and subsequent visits – safety population</v>
      </c>
      <c r="H83" s="159"/>
      <c r="I83" s="147"/>
    </row>
    <row r="84" spans="1:9" ht="16" x14ac:dyDescent="0.2">
      <c r="A84" s="147"/>
      <c r="B84" s="147"/>
      <c r="C84" s="147"/>
      <c r="D84" s="147"/>
      <c r="E84" s="147"/>
      <c r="F84" s="196" t="s">
        <v>351</v>
      </c>
      <c r="G84" s="197" t="str">
        <f>IFERROR(HYPERLINK("#Labels!G"&amp;MATCH(F84,Labels!D:D,0),IF(INDEX(Labels!H:H,MATCH(F84,Labels!D:D,0))="Yes","Figure "&amp;INDEX(Labels!F:F,MATCH(F84,Labels!D:D,0))&amp;" -  "&amp;INDEX(Labels!G:G,MATCH(F84,Labels!D:D,0)),"Table "&amp;INDEX(Labels!F:F,MATCH(F84,Labels!D:D,0))&amp;" -  "&amp;INDEX(Labels!G:G,MATCH(F84,Labels!D:D,0)))),"[Not found: "&amp;F84&amp;"]")</f>
        <v>Figure 128 -  Shift plot comparing glucose baseline values with EOT values - safety population</v>
      </c>
      <c r="H84" s="198"/>
      <c r="I84" s="147"/>
    </row>
    <row r="85" spans="1:9" ht="16" x14ac:dyDescent="0.2">
      <c r="A85" s="147"/>
      <c r="B85" s="147"/>
      <c r="C85" s="147"/>
      <c r="D85" s="147"/>
      <c r="E85" s="147"/>
      <c r="F85" s="199" t="s">
        <v>335</v>
      </c>
      <c r="G85" s="200" t="str">
        <f>IFERROR(HYPERLINK("#Labels!G"&amp;MATCH(F85,Labels!D:D,0),IF(INDEX(Labels!H:H,MATCH(F85,Labels!D:D,0))="Yes","Figure "&amp;INDEX(Labels!F:F,MATCH(F85,Labels!D:D,0))&amp;" -  "&amp;INDEX(Labels!G:G,MATCH(F85,Labels!D:D,0)),"Table "&amp;INDEX(Labels!F:F,MATCH(F85,Labels!D:D,0))&amp;" -  "&amp;INDEX(Labels!G:G,MATCH(F85,Labels!D:D,0)))),"[Not found: "&amp;F85&amp;"]")</f>
        <v>Figure 129 -  Shift plot comparing glucose baseline values with M3 values - safety population</v>
      </c>
      <c r="H85" s="201"/>
      <c r="I85" s="147"/>
    </row>
    <row r="86" spans="1:9" ht="32" x14ac:dyDescent="0.2">
      <c r="A86" s="147"/>
      <c r="B86" s="147"/>
      <c r="C86" s="147"/>
      <c r="D86" s="147"/>
      <c r="E86" s="147"/>
      <c r="F86" s="154" t="s">
        <v>88</v>
      </c>
      <c r="G86" s="157" t="str">
        <f>IFERROR(HYPERLINK("#Labels!G"&amp;MATCH(F86,Labels!D:D,0),IF(INDEX(Labels!H:H,MATCH(F86,Labels!D:D,0))="Yes","Figure "&amp;INDEX(Labels!F:F,MATCH(F86,Labels!D:D,0))&amp;" -  "&amp;INDEX(Labels!G:G,MATCH(F86,Labels!D:D,0)),"Table "&amp;INDEX(Labels!F:F,MATCH(F86,Labels!D:D,0))&amp;" -  "&amp;INDEX(Labels!G:G,MATCH(F86,Labels!D:D,0)))),"[Not found: "&amp;F86&amp;"]")</f>
        <v>Table 132 -  Calcium (mmol/L): n (%) of participants with normal/abnormal results and descriptive statistics at baseline and subsequent visits – safety population</v>
      </c>
      <c r="H86" s="160"/>
      <c r="I86" s="147"/>
    </row>
    <row r="87" spans="1:9" ht="16" x14ac:dyDescent="0.2">
      <c r="A87" s="147"/>
      <c r="B87" s="147"/>
      <c r="C87" s="147"/>
      <c r="D87" s="147"/>
      <c r="E87" s="147"/>
      <c r="F87" s="199" t="s">
        <v>352</v>
      </c>
      <c r="G87" s="200" t="str">
        <f>IFERROR(HYPERLINK("#Labels!G"&amp;MATCH(F87,Labels!D:D,0),IF(INDEX(Labels!H:H,MATCH(F87,Labels!D:D,0))="Yes","Figure "&amp;INDEX(Labels!F:F,MATCH(F87,Labels!D:D,0))&amp;" -  "&amp;INDEX(Labels!G:G,MATCH(F87,Labels!D:D,0)),"Table "&amp;INDEX(Labels!F:F,MATCH(F87,Labels!D:D,0))&amp;" -  "&amp;INDEX(Labels!G:G,MATCH(F87,Labels!D:D,0)))),"[Not found: "&amp;F87&amp;"]")</f>
        <v>Figure 133 -  Shift plot comparing calcium baseline values with EOT values -safety population</v>
      </c>
      <c r="H87" s="201"/>
      <c r="I87" s="147"/>
    </row>
    <row r="88" spans="1:9" ht="16" x14ac:dyDescent="0.2">
      <c r="A88" s="147"/>
      <c r="B88" s="147"/>
      <c r="C88" s="147"/>
      <c r="D88" s="147"/>
      <c r="E88" s="147"/>
      <c r="F88" s="196" t="s">
        <v>336</v>
      </c>
      <c r="G88" s="197" t="str">
        <f>IFERROR(HYPERLINK("#Labels!G"&amp;MATCH(F88,Labels!D:D,0),IF(INDEX(Labels!H:H,MATCH(F88,Labels!D:D,0))="Yes","Figure "&amp;INDEX(Labels!F:F,MATCH(F88,Labels!D:D,0))&amp;" -  "&amp;INDEX(Labels!G:G,MATCH(F88,Labels!D:D,0)),"Table "&amp;INDEX(Labels!F:F,MATCH(F88,Labels!D:D,0))&amp;" -  "&amp;INDEX(Labels!G:G,MATCH(F88,Labels!D:D,0)))),"[Not found: "&amp;F88&amp;"]")</f>
        <v>Figure 134 -  Shift plot comparing calcium baseline values with M3 values - safety population</v>
      </c>
      <c r="H88" s="198"/>
      <c r="I88" s="147"/>
    </row>
    <row r="89" spans="1:9" ht="32" x14ac:dyDescent="0.2">
      <c r="A89" s="147"/>
      <c r="B89" s="147"/>
      <c r="C89" s="147"/>
      <c r="D89" s="147"/>
      <c r="E89" s="147"/>
      <c r="F89" s="154" t="s">
        <v>90</v>
      </c>
      <c r="G89" s="155" t="str">
        <f>IFERROR(HYPERLINK("#Labels!G"&amp;MATCH(F89,Labels!D:D,0),IF(INDEX(Labels!H:H,MATCH(F89,Labels!D:D,0))="Yes","Figure "&amp;INDEX(Labels!F:F,MATCH(F89,Labels!D:D,0))&amp;" -  "&amp;INDEX(Labels!G:G,MATCH(F89,Labels!D:D,0)),"Table "&amp;INDEX(Labels!F:F,MATCH(F89,Labels!D:D,0))&amp;" -  "&amp;INDEX(Labels!G:G,MATCH(F89,Labels!D:D,0)))),"[Not found: "&amp;F89&amp;"]")</f>
        <v>Table 137 -  Blood urea (mg/dL) : n (%) of participants with normal/abnormal results and descriptive statistics at baseline and subsequent visits – safety population</v>
      </c>
      <c r="H89" s="159"/>
      <c r="I89" s="147"/>
    </row>
    <row r="90" spans="1:9" ht="16" x14ac:dyDescent="0.2">
      <c r="A90" s="147"/>
      <c r="B90" s="147"/>
      <c r="C90" s="147"/>
      <c r="D90" s="147"/>
      <c r="E90" s="147"/>
      <c r="F90" s="196" t="s">
        <v>353</v>
      </c>
      <c r="G90" s="197" t="str">
        <f>IFERROR(HYPERLINK("#Labels!G"&amp;MATCH(F90,Labels!D:D,0),IF(INDEX(Labels!H:H,MATCH(F90,Labels!D:D,0))="Yes","Figure "&amp;INDEX(Labels!F:F,MATCH(F90,Labels!D:D,0))&amp;" -  "&amp;INDEX(Labels!G:G,MATCH(F90,Labels!D:D,0)),"Table "&amp;INDEX(Labels!F:F,MATCH(F90,Labels!D:D,0))&amp;" -  "&amp;INDEX(Labels!G:G,MATCH(F90,Labels!D:D,0)))),"[Not found: "&amp;F90&amp;"]")</f>
        <v>Figure 138 -  Shift plot comparing blood urea baseline values with EOT values - safety population</v>
      </c>
      <c r="H90" s="198"/>
      <c r="I90" s="147"/>
    </row>
    <row r="91" spans="1:9" ht="16" x14ac:dyDescent="0.2">
      <c r="A91" s="147"/>
      <c r="B91" s="147"/>
      <c r="C91" s="147"/>
      <c r="D91" s="147"/>
      <c r="E91" s="147"/>
      <c r="F91" s="199" t="s">
        <v>337</v>
      </c>
      <c r="G91" s="200" t="str">
        <f>IFERROR(HYPERLINK("#Labels!G"&amp;MATCH(F91,Labels!D:D,0),IF(INDEX(Labels!H:H,MATCH(F91,Labels!D:D,0))="Yes","Figure "&amp;INDEX(Labels!F:F,MATCH(F91,Labels!D:D,0))&amp;" -  "&amp;INDEX(Labels!G:G,MATCH(F91,Labels!D:D,0)),"Table "&amp;INDEX(Labels!F:F,MATCH(F91,Labels!D:D,0))&amp;" -  "&amp;INDEX(Labels!G:G,MATCH(F91,Labels!D:D,0)))),"[Not found: "&amp;F91&amp;"]")</f>
        <v>Figure 139 -  Shift plot comparing blood urea baseline values with M3 values - safety population</v>
      </c>
      <c r="H91" s="201"/>
      <c r="I91" s="147"/>
    </row>
    <row r="92" spans="1:9" ht="32" x14ac:dyDescent="0.2">
      <c r="A92" s="147"/>
      <c r="B92" s="147"/>
      <c r="C92" s="147"/>
      <c r="D92" s="147"/>
      <c r="E92" s="147"/>
      <c r="F92" s="154" t="s">
        <v>92</v>
      </c>
      <c r="G92" s="157" t="str">
        <f>IFERROR(HYPERLINK("#Labels!G"&amp;MATCH(F92,Labels!D:D,0),IF(INDEX(Labels!H:H,MATCH(F92,Labels!D:D,0))="Yes","Figure "&amp;INDEX(Labels!F:F,MATCH(F92,Labels!D:D,0))&amp;" -  "&amp;INDEX(Labels!G:G,MATCH(F92,Labels!D:D,0)),"Table "&amp;INDEX(Labels!F:F,MATCH(F92,Labels!D:D,0))&amp;" -  "&amp;INDEX(Labels!G:G,MATCH(F92,Labels!D:D,0)))),"[Not found: "&amp;F92&amp;"]")</f>
        <v>Table 142 -  Creatinine (IU/L): n (%) of participants with normal/abnormal results and descriptive statistics at baseline and subsequent visits – safety population</v>
      </c>
      <c r="H92" s="160"/>
      <c r="I92" s="147"/>
    </row>
    <row r="93" spans="1:9" ht="16" x14ac:dyDescent="0.2">
      <c r="A93" s="147"/>
      <c r="B93" s="147"/>
      <c r="C93" s="147"/>
      <c r="D93" s="147"/>
      <c r="E93" s="147"/>
      <c r="F93" s="199" t="s">
        <v>354</v>
      </c>
      <c r="G93" s="200" t="str">
        <f>IFERROR(HYPERLINK("#Labels!G"&amp;MATCH(F93,Labels!D:D,0),IF(INDEX(Labels!H:H,MATCH(F93,Labels!D:D,0))="Yes","Figure "&amp;INDEX(Labels!F:F,MATCH(F93,Labels!D:D,0))&amp;" -  "&amp;INDEX(Labels!G:G,MATCH(F93,Labels!D:D,0)),"Table "&amp;INDEX(Labels!F:F,MATCH(F93,Labels!D:D,0))&amp;" -  "&amp;INDEX(Labels!G:G,MATCH(F93,Labels!D:D,0)))),"[Not found: "&amp;F93&amp;"]")</f>
        <v>Figure 143 -  Shift plot comparing creatinine baseline values with EOT values - safety population</v>
      </c>
      <c r="H93" s="201"/>
      <c r="I93" s="147"/>
    </row>
    <row r="94" spans="1:9" ht="16" x14ac:dyDescent="0.2">
      <c r="A94" s="147"/>
      <c r="B94" s="147"/>
      <c r="C94" s="147"/>
      <c r="D94" s="147"/>
      <c r="E94" s="147"/>
      <c r="F94" s="196" t="s">
        <v>338</v>
      </c>
      <c r="G94" s="197" t="str">
        <f>IFERROR(HYPERLINK("#Labels!G"&amp;MATCH(F94,Labels!D:D,0),IF(INDEX(Labels!H:H,MATCH(F94,Labels!D:D,0))="Yes","Figure "&amp;INDEX(Labels!F:F,MATCH(F94,Labels!D:D,0))&amp;" -  "&amp;INDEX(Labels!G:G,MATCH(F94,Labels!D:D,0)),"Table "&amp;INDEX(Labels!F:F,MATCH(F94,Labels!D:D,0))&amp;" -  "&amp;INDEX(Labels!G:G,MATCH(F94,Labels!D:D,0)))),"[Not found: "&amp;F94&amp;"]")</f>
        <v>Figure 144 -  Shift plot comparing creatinine baseline values with M3 values - safety population</v>
      </c>
      <c r="H94" s="198"/>
      <c r="I94" s="147"/>
    </row>
    <row r="95" spans="1:9" ht="32" x14ac:dyDescent="0.2">
      <c r="A95" s="147"/>
      <c r="B95" s="147"/>
      <c r="C95" s="147"/>
      <c r="D95" s="147"/>
      <c r="E95" s="147"/>
      <c r="F95" s="154" t="s">
        <v>94</v>
      </c>
      <c r="G95" s="155" t="str">
        <f>IFERROR(HYPERLINK("#Labels!G"&amp;MATCH(F95,Labels!D:D,0),IF(INDEX(Labels!H:H,MATCH(F95,Labels!D:D,0))="Yes","Figure "&amp;INDEX(Labels!F:F,MATCH(F95,Labels!D:D,0))&amp;" -  "&amp;INDEX(Labels!G:G,MATCH(F95,Labels!D:D,0)),"Table "&amp;INDEX(Labels!F:F,MATCH(F95,Labels!D:D,0))&amp;" -  "&amp;INDEX(Labels!G:G,MATCH(F95,Labels!D:D,0)))),"[Not found: "&amp;F95&amp;"]")</f>
        <v>Table 147 -  Alkaline phosphatase (ALP, IU/L) : n (%) of participants with normal/abnormal results and descriptive statistics at baseline and subsequent visits – safety population</v>
      </c>
      <c r="H95" s="159"/>
      <c r="I95" s="147"/>
    </row>
    <row r="96" spans="1:9" ht="16" x14ac:dyDescent="0.2">
      <c r="A96" s="147"/>
      <c r="B96" s="147"/>
      <c r="C96" s="147"/>
      <c r="D96" s="147"/>
      <c r="E96" s="147"/>
      <c r="F96" s="196" t="s">
        <v>355</v>
      </c>
      <c r="G96" s="197" t="str">
        <f>IFERROR(HYPERLINK("#Labels!G"&amp;MATCH(F96,Labels!D:D,0),IF(INDEX(Labels!H:H,MATCH(F96,Labels!D:D,0))="Yes","Figure "&amp;INDEX(Labels!F:F,MATCH(F96,Labels!D:D,0))&amp;" -  "&amp;INDEX(Labels!G:G,MATCH(F96,Labels!D:D,0)),"Table "&amp;INDEX(Labels!F:F,MATCH(F96,Labels!D:D,0))&amp;" -  "&amp;INDEX(Labels!G:G,MATCH(F96,Labels!D:D,0)))),"[Not found: "&amp;F96&amp;"]")</f>
        <v>Figure 148 -  Shift plot comparing alkaline baseline values with EOT values - safety population</v>
      </c>
      <c r="H96" s="198"/>
      <c r="I96" s="147"/>
    </row>
    <row r="97" spans="1:9" ht="16" x14ac:dyDescent="0.2">
      <c r="A97" s="147"/>
      <c r="B97" s="147"/>
      <c r="C97" s="147"/>
      <c r="D97" s="147"/>
      <c r="E97" s="147"/>
      <c r="F97" s="199" t="s">
        <v>339</v>
      </c>
      <c r="G97" s="200" t="str">
        <f>IFERROR(HYPERLINK("#Labels!G"&amp;MATCH(F97,Labels!D:D,0),IF(INDEX(Labels!H:H,MATCH(F97,Labels!D:D,0))="Yes","Figure "&amp;INDEX(Labels!F:F,MATCH(F97,Labels!D:D,0))&amp;" -  "&amp;INDEX(Labels!G:G,MATCH(F97,Labels!D:D,0)),"Table "&amp;INDEX(Labels!F:F,MATCH(F97,Labels!D:D,0))&amp;" -  "&amp;INDEX(Labels!G:G,MATCH(F97,Labels!D:D,0)))),"[Not found: "&amp;F97&amp;"]")</f>
        <v>Figure 149 -  Shift plot comparing alkaline baseline values with M3 values - safety population</v>
      </c>
      <c r="H97" s="201"/>
      <c r="I97" s="147"/>
    </row>
    <row r="98" spans="1:9" ht="32" x14ac:dyDescent="0.2">
      <c r="A98" s="147"/>
      <c r="B98" s="147"/>
      <c r="C98" s="147"/>
      <c r="D98" s="147"/>
      <c r="E98" s="147"/>
      <c r="F98" s="154" t="s">
        <v>96</v>
      </c>
      <c r="G98" s="157" t="str">
        <f>IFERROR(HYPERLINK("#Labels!G"&amp;MATCH(F98,Labels!D:D,0),IF(INDEX(Labels!H:H,MATCH(F98,Labels!D:D,0))="Yes","Figure "&amp;INDEX(Labels!F:F,MATCH(F98,Labels!D:D,0))&amp;" -  "&amp;INDEX(Labels!G:G,MATCH(F98,Labels!D:D,0)),"Table "&amp;INDEX(Labels!F:F,MATCH(F98,Labels!D:D,0))&amp;" -  "&amp;INDEX(Labels!G:G,MATCH(F98,Labels!D:D,0)))),"[Not found: "&amp;F98&amp;"]")</f>
        <v>Table 152 -  Alanine aminotransferase (ALAT , IU/L) : n (%) of participants with normal/abnormal results and descriptive statistics at baseline and subsequent visits – safety population</v>
      </c>
      <c r="H98" s="160"/>
      <c r="I98" s="147"/>
    </row>
    <row r="99" spans="1:9" ht="16" x14ac:dyDescent="0.2">
      <c r="A99" s="147"/>
      <c r="B99" s="147"/>
      <c r="C99" s="147"/>
      <c r="D99" s="147"/>
      <c r="E99" s="147"/>
      <c r="F99" s="199" t="s">
        <v>356</v>
      </c>
      <c r="G99" s="200" t="str">
        <f>IFERROR(HYPERLINK("#Labels!G"&amp;MATCH(F99,Labels!D:D,0),IF(INDEX(Labels!H:H,MATCH(F99,Labels!D:D,0))="Yes","Figure "&amp;INDEX(Labels!F:F,MATCH(F99,Labels!D:D,0))&amp;" -  "&amp;INDEX(Labels!G:G,MATCH(F99,Labels!D:D,0)),"Table "&amp;INDEX(Labels!F:F,MATCH(F99,Labels!D:D,0))&amp;" -  "&amp;INDEX(Labels!G:G,MATCH(F99,Labels!D:D,0)))),"[Not found: "&amp;F99&amp;"]")</f>
        <v>Figure 153 -  Shift plot comparing ALAT baseline values with EOT values - safety population</v>
      </c>
      <c r="H99" s="201"/>
      <c r="I99" s="147"/>
    </row>
    <row r="100" spans="1:9" ht="16" x14ac:dyDescent="0.2">
      <c r="A100" s="147"/>
      <c r="B100" s="147"/>
      <c r="C100" s="147"/>
      <c r="D100" s="147"/>
      <c r="E100" s="147"/>
      <c r="F100" s="196" t="s">
        <v>340</v>
      </c>
      <c r="G100" s="197" t="str">
        <f>IFERROR(HYPERLINK("#Labels!G"&amp;MATCH(F100,Labels!D:D,0),IF(INDEX(Labels!H:H,MATCH(F100,Labels!D:D,0))="Yes","Figure "&amp;INDEX(Labels!F:F,MATCH(F100,Labels!D:D,0))&amp;" -  "&amp;INDEX(Labels!G:G,MATCH(F100,Labels!D:D,0)),"Table "&amp;INDEX(Labels!F:F,MATCH(F100,Labels!D:D,0))&amp;" -  "&amp;INDEX(Labels!G:G,MATCH(F100,Labels!D:D,0)))),"[Not found: "&amp;F100&amp;"]")</f>
        <v>Figure 154 -  Shift plot comparing ALAT baseline values with M3 values - safety population</v>
      </c>
      <c r="H100" s="198"/>
      <c r="I100" s="147"/>
    </row>
    <row r="101" spans="1:9" ht="32" x14ac:dyDescent="0.2">
      <c r="A101" s="147"/>
      <c r="B101" s="147"/>
      <c r="C101" s="147"/>
      <c r="D101" s="147"/>
      <c r="E101" s="147"/>
      <c r="F101" s="154" t="s">
        <v>98</v>
      </c>
      <c r="G101" s="155" t="str">
        <f>IFERROR(HYPERLINK("#Labels!G"&amp;MATCH(F101,Labels!D:D,0),IF(INDEX(Labels!H:H,MATCH(F101,Labels!D:D,0))="Yes","Figure "&amp;INDEX(Labels!F:F,MATCH(F101,Labels!D:D,0))&amp;" -  "&amp;INDEX(Labels!G:G,MATCH(F101,Labels!D:D,0)),"Table "&amp;INDEX(Labels!F:F,MATCH(F101,Labels!D:D,0))&amp;" -  "&amp;INDEX(Labels!G:G,MATCH(F101,Labels!D:D,0)))),"[Not found: "&amp;F101&amp;"]")</f>
        <v>Table 157 -  Aspartate aminotransferase (ASAT, IU/L) : n (%) of participants with normal/abnormal results and descriptive statistics at baseline and subsequent visits – safety population</v>
      </c>
      <c r="H101" s="159"/>
      <c r="I101" s="147"/>
    </row>
    <row r="102" spans="1:9" ht="16" x14ac:dyDescent="0.2">
      <c r="A102" s="147"/>
      <c r="B102" s="147"/>
      <c r="C102" s="147"/>
      <c r="D102" s="147"/>
      <c r="E102" s="147"/>
      <c r="F102" s="196" t="s">
        <v>357</v>
      </c>
      <c r="G102" s="197" t="str">
        <f>IFERROR(HYPERLINK("#Labels!G"&amp;MATCH(F102,Labels!D:D,0),IF(INDEX(Labels!H:H,MATCH(F102,Labels!D:D,0))="Yes","Figure "&amp;INDEX(Labels!F:F,MATCH(F102,Labels!D:D,0))&amp;" -  "&amp;INDEX(Labels!G:G,MATCH(F102,Labels!D:D,0)),"Table "&amp;INDEX(Labels!F:F,MATCH(F102,Labels!D:D,0))&amp;" -  "&amp;INDEX(Labels!G:G,MATCH(F102,Labels!D:D,0)))),"[Not found: "&amp;F102&amp;"]")</f>
        <v>Figure 158 -  Shift plot comparing ASAT baseline values with EOT values - safety population</v>
      </c>
      <c r="H102" s="198"/>
      <c r="I102" s="147"/>
    </row>
    <row r="103" spans="1:9" ht="16" x14ac:dyDescent="0.2">
      <c r="A103" s="147"/>
      <c r="B103" s="147"/>
      <c r="C103" s="147"/>
      <c r="D103" s="147"/>
      <c r="E103" s="147"/>
      <c r="F103" s="199" t="s">
        <v>341</v>
      </c>
      <c r="G103" s="200" t="str">
        <f>IFERROR(HYPERLINK("#Labels!G"&amp;MATCH(F103,Labels!D:D,0),IF(INDEX(Labels!H:H,MATCH(F103,Labels!D:D,0))="Yes","Figure "&amp;INDEX(Labels!F:F,MATCH(F103,Labels!D:D,0))&amp;" -  "&amp;INDEX(Labels!G:G,MATCH(F103,Labels!D:D,0)),"Table "&amp;INDEX(Labels!F:F,MATCH(F103,Labels!D:D,0))&amp;" -  "&amp;INDEX(Labels!G:G,MATCH(F103,Labels!D:D,0)))),"[Not found: "&amp;F103&amp;"]")</f>
        <v>Figure 159 -  Shift plot comparing ASAT baseline values with M3 values - safety population</v>
      </c>
      <c r="H103" s="201"/>
      <c r="I103" s="147"/>
    </row>
    <row r="104" spans="1:9" ht="32" x14ac:dyDescent="0.2">
      <c r="A104" s="147"/>
      <c r="B104" s="147"/>
      <c r="C104" s="147"/>
      <c r="D104" s="147"/>
      <c r="E104" s="147"/>
      <c r="F104" s="154" t="s">
        <v>100</v>
      </c>
      <c r="G104" s="157" t="str">
        <f>IFERROR(HYPERLINK("#Labels!G"&amp;MATCH(F104,Labels!D:D,0),IF(INDEX(Labels!H:H,MATCH(F104,Labels!D:D,0))="Yes","Figure "&amp;INDEX(Labels!F:F,MATCH(F104,Labels!D:D,0))&amp;" -  "&amp;INDEX(Labels!G:G,MATCH(F104,Labels!D:D,0)),"Table "&amp;INDEX(Labels!F:F,MATCH(F104,Labels!D:D,0))&amp;" -  "&amp;INDEX(Labels!G:G,MATCH(F104,Labels!D:D,0)))),"[Not found: "&amp;F104&amp;"]")</f>
        <v>Table 162 -  Total Bilirubin (mg/dL): n (%) of participants with normal/abnormal results and descriptive statistics at baseline and subsequent visits – safety population</v>
      </c>
      <c r="H104" s="160"/>
      <c r="I104" s="147"/>
    </row>
    <row r="105" spans="1:9" ht="16" x14ac:dyDescent="0.2">
      <c r="A105" s="147"/>
      <c r="B105" s="147"/>
      <c r="C105" s="147"/>
      <c r="D105" s="147"/>
      <c r="E105" s="147"/>
      <c r="F105" s="199" t="s">
        <v>358</v>
      </c>
      <c r="G105" s="200" t="str">
        <f>IFERROR(HYPERLINK("#Labels!G"&amp;MATCH(F105,Labels!D:D,0),IF(INDEX(Labels!H:H,MATCH(F105,Labels!D:D,0))="Yes","Figure "&amp;INDEX(Labels!F:F,MATCH(F105,Labels!D:D,0))&amp;" -  "&amp;INDEX(Labels!G:G,MATCH(F105,Labels!D:D,0)),"Table "&amp;INDEX(Labels!F:F,MATCH(F105,Labels!D:D,0))&amp;" -  "&amp;INDEX(Labels!G:G,MATCH(F105,Labels!D:D,0)))),"[Not found: "&amp;F105&amp;"]")</f>
        <v>Figure 163 -  Shift plot comparing bilirubin baseline values with EOT values - safety population</v>
      </c>
      <c r="H105" s="201"/>
      <c r="I105" s="147"/>
    </row>
    <row r="106" spans="1:9" ht="16" x14ac:dyDescent="0.2">
      <c r="A106" s="147"/>
      <c r="B106" s="147"/>
      <c r="C106" s="147"/>
      <c r="D106" s="147"/>
      <c r="E106" s="147"/>
      <c r="F106" s="196" t="s">
        <v>342</v>
      </c>
      <c r="G106" s="197" t="str">
        <f>IFERROR(HYPERLINK("#Labels!G"&amp;MATCH(F106,Labels!D:D,0),IF(INDEX(Labels!H:H,MATCH(F106,Labels!D:D,0))="Yes","Figure "&amp;INDEX(Labels!F:F,MATCH(F106,Labels!D:D,0))&amp;" -  "&amp;INDEX(Labels!G:G,MATCH(F106,Labels!D:D,0)),"Table "&amp;INDEX(Labels!F:F,MATCH(F106,Labels!D:D,0))&amp;" -  "&amp;INDEX(Labels!G:G,MATCH(F106,Labels!D:D,0)))),"[Not found: "&amp;F106&amp;"]")</f>
        <v>Figure 164 -  Shift plot comparing bilirubin baseline values with M3 values - safety population</v>
      </c>
      <c r="H106" s="198"/>
      <c r="I106" s="147"/>
    </row>
    <row r="107" spans="1:9" ht="32" x14ac:dyDescent="0.2">
      <c r="A107" s="147"/>
      <c r="B107" s="147"/>
      <c r="C107" s="147"/>
      <c r="D107" s="147"/>
      <c r="E107" s="147"/>
      <c r="F107" s="154" t="s">
        <v>102</v>
      </c>
      <c r="G107" s="155" t="str">
        <f>IFERROR(HYPERLINK("#Labels!G"&amp;MATCH(F107,Labels!D:D,0),IF(INDEX(Labels!H:H,MATCH(F107,Labels!D:D,0))="Yes","Figure "&amp;INDEX(Labels!F:F,MATCH(F107,Labels!D:D,0))&amp;" -  "&amp;INDEX(Labels!G:G,MATCH(F107,Labels!D:D,0)),"Table "&amp;INDEX(Labels!F:F,MATCH(F107,Labels!D:D,0))&amp;" -  "&amp;INDEX(Labels!G:G,MATCH(F107,Labels!D:D,0)))),"[Not found: "&amp;F107&amp;"]")</f>
        <v>Table 167 -  Albumin (g/dL): n (%) of participants with normal/abnormal results and descriptive statistics at baseline and subsequent visits – safety population</v>
      </c>
      <c r="H107" s="159"/>
      <c r="I107" s="147"/>
    </row>
    <row r="108" spans="1:9" ht="16" x14ac:dyDescent="0.2">
      <c r="A108" s="147"/>
      <c r="B108" s="147"/>
      <c r="C108" s="147"/>
      <c r="D108" s="147"/>
      <c r="E108" s="147"/>
      <c r="F108" s="196" t="s">
        <v>359</v>
      </c>
      <c r="G108" s="197" t="str">
        <f>IFERROR(HYPERLINK("#Labels!G"&amp;MATCH(F108,Labels!D:D,0),IF(INDEX(Labels!H:H,MATCH(F108,Labels!D:D,0))="Yes","Figure "&amp;INDEX(Labels!F:F,MATCH(F108,Labels!D:D,0))&amp;" -  "&amp;INDEX(Labels!G:G,MATCH(F108,Labels!D:D,0)),"Table "&amp;INDEX(Labels!F:F,MATCH(F108,Labels!D:D,0))&amp;" -  "&amp;INDEX(Labels!G:G,MATCH(F108,Labels!D:D,0)))),"[Not found: "&amp;F108&amp;"]")</f>
        <v>Figure 168 -  Shift plot comparing albumin baseline values with EOT values - safety population</v>
      </c>
      <c r="H108" s="198"/>
      <c r="I108" s="147"/>
    </row>
    <row r="109" spans="1:9" ht="16" x14ac:dyDescent="0.2">
      <c r="A109" s="147"/>
      <c r="B109" s="147"/>
      <c r="C109" s="147"/>
      <c r="D109" s="147"/>
      <c r="E109" s="147"/>
      <c r="F109" s="199" t="s">
        <v>343</v>
      </c>
      <c r="G109" s="200" t="str">
        <f>IFERROR(HYPERLINK("#Labels!G"&amp;MATCH(F109,Labels!D:D,0),IF(INDEX(Labels!H:H,MATCH(F109,Labels!D:D,0))="Yes","Figure "&amp;INDEX(Labels!F:F,MATCH(F109,Labels!D:D,0))&amp;" -  "&amp;INDEX(Labels!G:G,MATCH(F109,Labels!D:D,0)),"Table "&amp;INDEX(Labels!F:F,MATCH(F109,Labels!D:D,0))&amp;" -  "&amp;INDEX(Labels!G:G,MATCH(F109,Labels!D:D,0)))),"[Not found: "&amp;F109&amp;"]")</f>
        <v>Figure 169 -  Shift plot comparing albumin baseline values with M3 values - safety population</v>
      </c>
      <c r="H109" s="201"/>
      <c r="I109" s="147"/>
    </row>
    <row r="110" spans="1:9" ht="32" x14ac:dyDescent="0.2">
      <c r="A110" s="147"/>
      <c r="B110" s="147"/>
      <c r="C110" s="147"/>
      <c r="D110" s="147"/>
      <c r="E110" s="147"/>
      <c r="F110" s="154" t="s">
        <v>104</v>
      </c>
      <c r="G110" s="157" t="str">
        <f>IFERROR(HYPERLINK("#Labels!G"&amp;MATCH(F110,Labels!D:D,0),IF(INDEX(Labels!H:H,MATCH(F110,Labels!D:D,0))="Yes","Figure "&amp;INDEX(Labels!F:F,MATCH(F110,Labels!D:D,0))&amp;" -  "&amp;INDEX(Labels!G:G,MATCH(F110,Labels!D:D,0)),"Table "&amp;INDEX(Labels!F:F,MATCH(F110,Labels!D:D,0))&amp;" -  "&amp;INDEX(Labels!G:G,MATCH(F110,Labels!D:D,0)))),"[Not found: "&amp;F110&amp;"]")</f>
        <v>Table 172 -  Total protein (g/dL): n (%) of participants with normal/abnormal results and descriptive statistics at baseline and subsequent visits – safety population</v>
      </c>
      <c r="H110" s="160"/>
      <c r="I110" s="147"/>
    </row>
    <row r="111" spans="1:9" ht="16" x14ac:dyDescent="0.2">
      <c r="A111" s="147"/>
      <c r="B111" s="147"/>
      <c r="C111" s="147"/>
      <c r="D111" s="147"/>
      <c r="E111" s="147"/>
      <c r="F111" s="199" t="s">
        <v>344</v>
      </c>
      <c r="G111" s="200" t="str">
        <f>IFERROR(HYPERLINK("#Labels!G"&amp;MATCH(F111,Labels!D:D,0),IF(INDEX(Labels!H:H,MATCH(F111,Labels!D:D,0))="Yes","Figure "&amp;INDEX(Labels!F:F,MATCH(F111,Labels!D:D,0))&amp;" -  "&amp;INDEX(Labels!G:G,MATCH(F111,Labels!D:D,0)),"Table "&amp;INDEX(Labels!F:F,MATCH(F111,Labels!D:D,0))&amp;" -  "&amp;INDEX(Labels!G:G,MATCH(F111,Labels!D:D,0)))),"[Not found: "&amp;F111&amp;"]")</f>
        <v>Figure 173 -  Shift plot comparing Total protein baseline values with EOT values - safety population</v>
      </c>
      <c r="H111" s="201"/>
      <c r="I111" s="147"/>
    </row>
    <row r="112" spans="1:9" ht="16" x14ac:dyDescent="0.2">
      <c r="A112" s="147"/>
      <c r="B112" s="147"/>
      <c r="C112" s="147"/>
      <c r="D112" s="147"/>
      <c r="E112" s="147"/>
      <c r="F112" s="196" t="s">
        <v>360</v>
      </c>
      <c r="G112" s="197" t="str">
        <f>IFERROR(HYPERLINK("#Labels!G"&amp;MATCH(F112,Labels!D:D,0),IF(INDEX(Labels!H:H,MATCH(F112,Labels!D:D,0))="Yes","Figure "&amp;INDEX(Labels!F:F,MATCH(F112,Labels!D:D,0))&amp;" -  "&amp;INDEX(Labels!G:G,MATCH(F112,Labels!D:D,0)),"Table "&amp;INDEX(Labels!F:F,MATCH(F112,Labels!D:D,0))&amp;" -  "&amp;INDEX(Labels!G:G,MATCH(F112,Labels!D:D,0)))),"[Not found: "&amp;F112&amp;"]")</f>
        <v>Figure 174 -  Shift plot comparing Total protein baseline values with M3 values - safety population</v>
      </c>
      <c r="H112" s="198"/>
      <c r="I112" s="147"/>
    </row>
    <row r="113" spans="1:9" ht="32" x14ac:dyDescent="0.2">
      <c r="A113" s="147"/>
      <c r="B113" s="147"/>
      <c r="C113" s="147"/>
      <c r="D113" s="147"/>
      <c r="E113" s="147"/>
      <c r="F113" s="154" t="s">
        <v>107</v>
      </c>
      <c r="G113" s="155" t="str">
        <f>IFERROR(HYPERLINK("#Labels!G"&amp;MATCH(F113,Labels!D:D,0),IF(INDEX(Labels!H:H,MATCH(F113,Labels!D:D,0))="Yes","Figure "&amp;INDEX(Labels!F:F,MATCH(F113,Labels!D:D,0))&amp;" -  "&amp;INDEX(Labels!G:G,MATCH(F113,Labels!D:D,0)),"Table "&amp;INDEX(Labels!F:F,MATCH(F113,Labels!D:D,0))&amp;" -  "&amp;INDEX(Labels!G:G,MATCH(F113,Labels!D:D,0)))),"[Not found: "&amp;F113&amp;"]")</f>
        <v>Table 182 -  Descriptive statistics of heart rate and change from baseline during treatment period and FU visits – ITT population</v>
      </c>
      <c r="H113" s="159"/>
      <c r="I113" s="147"/>
    </row>
    <row r="114" spans="1:9" ht="32" x14ac:dyDescent="0.2">
      <c r="A114" s="147"/>
      <c r="B114" s="147"/>
      <c r="C114" s="147"/>
      <c r="D114" s="147"/>
      <c r="E114" s="147"/>
      <c r="F114" s="154" t="s">
        <v>108</v>
      </c>
      <c r="G114" s="157" t="str">
        <f>IFERROR(HYPERLINK("#Labels!G"&amp;MATCH(F114,Labels!D:D,0),IF(INDEX(Labels!H:H,MATCH(F114,Labels!D:D,0))="Yes","Figure "&amp;INDEX(Labels!F:F,MATCH(F114,Labels!D:D,0))&amp;" -  "&amp;INDEX(Labels!G:G,MATCH(F114,Labels!D:D,0)),"Table "&amp;INDEX(Labels!F:F,MATCH(F114,Labels!D:D,0))&amp;" -  "&amp;INDEX(Labels!G:G,MATCH(F114,Labels!D:D,0)))),"[Not found: "&amp;F114&amp;"]")</f>
        <v>Table 183 -  Descriptive statistics of weight and change from baseline during treatment period and FU visits – ITT population</v>
      </c>
      <c r="H114" s="160"/>
      <c r="I114" s="147"/>
    </row>
    <row r="115" spans="1:9" ht="32" x14ac:dyDescent="0.2">
      <c r="A115" s="147"/>
      <c r="B115" s="147"/>
      <c r="C115" s="147"/>
      <c r="D115" s="147"/>
      <c r="E115" s="147"/>
      <c r="F115" s="154" t="s">
        <v>468</v>
      </c>
      <c r="G115" s="155" t="str">
        <f>IFERROR(HYPERLINK("#Labels!G"&amp;MATCH(F115,Labels!D:D,0),IF(INDEX(Labels!H:H,MATCH(F115,Labels!D:D,0))="Yes","Figure "&amp;INDEX(Labels!F:F,MATCH(F115,Labels!D:D,0))&amp;" -  "&amp;INDEX(Labels!G:G,MATCH(F115,Labels!D:D,0)),"Table "&amp;INDEX(Labels!F:F,MATCH(F115,Labels!D:D,0))&amp;" -  "&amp;INDEX(Labels!G:G,MATCH(F115,Labels!D:D,0)))),"[Not found: "&amp;F115&amp;"]")</f>
        <v>Table 184 -  Descriptive statistics of height and change from baseline during treatment period and FU visits – ITT population</v>
      </c>
      <c r="H115" s="159"/>
      <c r="I115" s="147"/>
    </row>
    <row r="116" spans="1:9" ht="32" x14ac:dyDescent="0.2">
      <c r="A116" s="147"/>
      <c r="B116" s="147"/>
      <c r="C116" s="147"/>
      <c r="D116" s="147"/>
      <c r="E116" s="147"/>
      <c r="F116" s="154" t="s">
        <v>109</v>
      </c>
      <c r="G116" s="157" t="str">
        <f>IFERROR(HYPERLINK("#Labels!G"&amp;MATCH(F116,Labels!D:D,0),IF(INDEX(Labels!H:H,MATCH(F116,Labels!D:D,0))="Yes","Figure "&amp;INDEX(Labels!F:F,MATCH(F116,Labels!D:D,0))&amp;" -  "&amp;INDEX(Labels!G:G,MATCH(F116,Labels!D:D,0)),"Table "&amp;INDEX(Labels!F:F,MATCH(F116,Labels!D:D,0))&amp;" -  "&amp;INDEX(Labels!G:G,MATCH(F116,Labels!D:D,0)))),"[Not found: "&amp;F116&amp;"]")</f>
        <v>Table 185 -  Descriptive statistics of bmi and change from baseline during treatment period and FU visits – ITT population</v>
      </c>
      <c r="H116" s="160"/>
      <c r="I116" s="147"/>
    </row>
    <row r="117" spans="1:9" ht="32" x14ac:dyDescent="0.2">
      <c r="A117" s="147"/>
      <c r="B117" s="147"/>
      <c r="C117" s="147"/>
      <c r="D117" s="147"/>
      <c r="E117" s="147"/>
      <c r="F117" s="154" t="s">
        <v>469</v>
      </c>
      <c r="G117" s="155" t="str">
        <f>IFERROR(HYPERLINK("#Labels!G"&amp;MATCH(F117,Labels!D:D,0),IF(INDEX(Labels!H:H,MATCH(F117,Labels!D:D,0))="Yes","Figure "&amp;INDEX(Labels!F:F,MATCH(F117,Labels!D:D,0))&amp;" -  "&amp;INDEX(Labels!G:G,MATCH(F117,Labels!D:D,0)),"Table "&amp;INDEX(Labels!F:F,MATCH(F117,Labels!D:D,0))&amp;" -  "&amp;INDEX(Labels!G:G,MATCH(F117,Labels!D:D,0)))),"[Not found: "&amp;F117&amp;"]")</f>
        <v>Table 186 -  Descriptive statistics of temperature and change from baseline during treatment period and FU visits – ITT population</v>
      </c>
      <c r="H117" s="159"/>
      <c r="I117" s="147"/>
    </row>
    <row r="118" spans="1:9" ht="32" x14ac:dyDescent="0.2">
      <c r="A118" s="147"/>
      <c r="B118" s="147"/>
      <c r="C118" s="147"/>
      <c r="D118" s="147"/>
      <c r="E118" s="147"/>
      <c r="F118" s="154" t="s">
        <v>472</v>
      </c>
      <c r="G118" s="157" t="str">
        <f>IFERROR(HYPERLINK("#Labels!G"&amp;MATCH(F118,Labels!D:D,0),IF(INDEX(Labels!H:H,MATCH(F118,Labels!D:D,0))="Yes","Figure "&amp;INDEX(Labels!F:F,MATCH(F118,Labels!D:D,0))&amp;" -  "&amp;INDEX(Labels!G:G,MATCH(F118,Labels!D:D,0)),"Table "&amp;INDEX(Labels!F:F,MATCH(F118,Labels!D:D,0))&amp;" -  "&amp;INDEX(Labels!G:G,MATCH(F118,Labels!D:D,0)))),"[Not found: "&amp;F118&amp;"]")</f>
        <v xml:space="preserve">Table 190 -  Physical examination: n (%) of participants with normal/abnormal results at baseline, D5, EoT and EoH visits – safety population </v>
      </c>
      <c r="H118" s="160"/>
      <c r="I118" s="147"/>
    </row>
    <row r="119" spans="1:9" ht="32" x14ac:dyDescent="0.2">
      <c r="A119" s="147"/>
      <c r="B119" s="147"/>
      <c r="C119" s="147"/>
      <c r="D119" s="147"/>
      <c r="E119" s="147"/>
      <c r="F119" s="154" t="s">
        <v>474</v>
      </c>
      <c r="G119" s="155" t="str">
        <f>IFERROR(HYPERLINK("#Labels!G"&amp;MATCH(F119,Labels!D:D,0),IF(INDEX(Labels!H:H,MATCH(F119,Labels!D:D,0))="Yes","Figure "&amp;INDEX(Labels!F:F,MATCH(F119,Labels!D:D,0))&amp;" -  "&amp;INDEX(Labels!G:G,MATCH(F119,Labels!D:D,0)),"Table "&amp;INDEX(Labels!F:F,MATCH(F119,Labels!D:D,0))&amp;" -  "&amp;INDEX(Labels!G:G,MATCH(F119,Labels!D:D,0)))),"[Not found: "&amp;F119&amp;"]")</f>
        <v>Table 187 -  Descriptive statistics of respiratory rate and change from baseline during treatment period and FU visits – ITT population</v>
      </c>
      <c r="H119" s="159"/>
      <c r="I119" s="147"/>
    </row>
    <row r="120" spans="1:9" ht="32" x14ac:dyDescent="0.2">
      <c r="A120" s="147"/>
      <c r="B120" s="147"/>
      <c r="C120" s="147"/>
      <c r="D120" s="147"/>
      <c r="E120" s="147"/>
      <c r="F120" s="154" t="s">
        <v>473</v>
      </c>
      <c r="G120" s="157" t="str">
        <f>IFERROR(HYPERLINK("#Labels!G"&amp;MATCH(F120,Labels!D:D,0),IF(INDEX(Labels!H:H,MATCH(F120,Labels!D:D,0))="Yes","Figure "&amp;INDEX(Labels!F:F,MATCH(F120,Labels!D:D,0))&amp;" -  "&amp;INDEX(Labels!G:G,MATCH(F120,Labels!D:D,0)),"Table "&amp;INDEX(Labels!F:F,MATCH(F120,Labels!D:D,0))&amp;" -  "&amp;INDEX(Labels!G:G,MATCH(F120,Labels!D:D,0)))),"[Not found: "&amp;F120&amp;"]")</f>
        <v>Table 191 -  Neurological examinations: n (%) of participants with normal/abnormal examination at baseline, D5, EoT and EoH visits – safety population</v>
      </c>
      <c r="H120" s="160"/>
      <c r="I120" s="147"/>
    </row>
    <row r="121" spans="1:9" ht="16" x14ac:dyDescent="0.2">
      <c r="A121" s="147"/>
      <c r="B121" s="147"/>
      <c r="C121" s="147"/>
      <c r="D121" s="147"/>
      <c r="E121" s="147"/>
      <c r="F121" s="154" t="s">
        <v>470</v>
      </c>
      <c r="G121" s="155" t="str">
        <f>IFERROR(HYPERLINK("#Labels!G"&amp;MATCH(F121,Labels!D:D,0),IF(INDEX(Labels!H:H,MATCH(F121,Labels!D:D,0))="Yes","Figure "&amp;INDEX(Labels!F:F,MATCH(F121,Labels!D:D,0))&amp;" -  "&amp;INDEX(Labels!G:G,MATCH(F121,Labels!D:D,0)),"Table "&amp;INDEX(Labels!F:F,MATCH(F121,Labels!D:D,0))&amp;" -  "&amp;INDEX(Labels!G:G,MATCH(F121,Labels!D:D,0)))),"[Not found: "&amp;F121&amp;"]")</f>
        <v>Table 188 -  Descriptive statistics of SBP from baseline during treatment period and FU visits – ITT population</v>
      </c>
      <c r="H121" s="159"/>
      <c r="I121" s="147"/>
    </row>
    <row r="122" spans="1:9" ht="16" x14ac:dyDescent="0.2">
      <c r="A122" s="147"/>
      <c r="B122" s="147"/>
      <c r="C122" s="147"/>
      <c r="D122" s="147"/>
      <c r="E122" s="147"/>
      <c r="F122" s="154" t="s">
        <v>112</v>
      </c>
      <c r="G122" s="157" t="str">
        <f>IFERROR(HYPERLINK("#Labels!G"&amp;MATCH(F122,Labels!D:D,0),IF(INDEX(Labels!H:H,MATCH(F122,Labels!D:D,0))="Yes","Figure "&amp;INDEX(Labels!F:F,MATCH(F122,Labels!D:D,0))&amp;" -  "&amp;INDEX(Labels!G:G,MATCH(F122,Labels!D:D,0)),"Table "&amp;INDEX(Labels!F:F,MATCH(F122,Labels!D:D,0))&amp;" -  "&amp;INDEX(Labels!G:G,MATCH(F122,Labels!D:D,0)))),"[Not found: "&amp;F122&amp;"]")</f>
        <v>Table 192 -  Number of AEs, number and % of participants with at least one AE in each category -safety population</v>
      </c>
      <c r="H122" s="158" t="str">
        <f>HYPERLINK("#'sec5_aenumb'!A1","Open →")</f>
        <v>Open →</v>
      </c>
      <c r="I122" s="147"/>
    </row>
    <row r="123" spans="1:9" ht="32" x14ac:dyDescent="0.2">
      <c r="A123" s="147"/>
      <c r="B123" s="147"/>
      <c r="C123" s="147"/>
      <c r="D123" s="147"/>
      <c r="E123" s="147"/>
      <c r="F123" s="154" t="s">
        <v>113</v>
      </c>
      <c r="G123" s="155" t="str">
        <f>IFERROR(HYPERLINK("#Labels!G"&amp;MATCH(F123,Labels!D:D,0),IF(INDEX(Labels!H:H,MATCH(F123,Labels!D:D,0))="Yes","Figure "&amp;INDEX(Labels!F:F,MATCH(F123,Labels!D:D,0))&amp;" -  "&amp;INDEX(Labels!G:G,MATCH(F123,Labels!D:D,0)),"Table "&amp;INDEX(Labels!F:F,MATCH(F123,Labels!D:D,0))&amp;" -  "&amp;INDEX(Labels!G:G,MATCH(F123,Labels!D:D,0)))),"[Not found: "&amp;F123&amp;"]")</f>
        <v>Table 197 -  Number of AEs, number and % of participants with at least one AE by SOC and PT during the screening period -safety population</v>
      </c>
      <c r="H123" s="159"/>
      <c r="I123" s="147"/>
    </row>
    <row r="124" spans="1:9" ht="32" x14ac:dyDescent="0.2">
      <c r="A124" s="147"/>
      <c r="B124" s="147"/>
      <c r="C124" s="147"/>
      <c r="D124" s="147"/>
      <c r="E124" s="147"/>
      <c r="F124" s="154" t="s">
        <v>388</v>
      </c>
      <c r="G124" s="157" t="str">
        <f>IFERROR(HYPERLINK("#Labels!G"&amp;MATCH(F124,Labels!D:D,0),IF(INDEX(Labels!H:H,MATCH(F124,Labels!D:D,0))="Yes","Figure "&amp;INDEX(Labels!F:F,MATCH(F124,Labels!D:D,0))&amp;" -  "&amp;INDEX(Labels!G:G,MATCH(F124,Labels!D:D,0)),"Table "&amp;INDEX(Labels!F:F,MATCH(F124,Labels!D:D,0))&amp;" -  "&amp;INDEX(Labels!G:G,MATCH(F124,Labels!D:D,0)))),"[Not found: "&amp;F124&amp;"]")</f>
        <v>Table 198 -  Number of AEs, number and % of participants with at least one AE by SOC and PT during the hospitalization period -safety population</v>
      </c>
      <c r="H124" s="160"/>
      <c r="I124" s="147"/>
    </row>
    <row r="125" spans="1:9" ht="32" x14ac:dyDescent="0.2">
      <c r="A125" s="147"/>
      <c r="B125" s="147"/>
      <c r="C125" s="147"/>
      <c r="D125" s="147"/>
      <c r="E125" s="147"/>
      <c r="F125" s="154" t="s">
        <v>385</v>
      </c>
      <c r="G125" s="155" t="str">
        <f>IFERROR(HYPERLINK("#Labels!G"&amp;MATCH(F125,Labels!D:D,0),IF(INDEX(Labels!H:H,MATCH(F125,Labels!D:D,0))="Yes","Figure "&amp;INDEX(Labels!F:F,MATCH(F125,Labels!D:D,0))&amp;" -  "&amp;INDEX(Labels!G:G,MATCH(F125,Labels!D:D,0)),"Table "&amp;INDEX(Labels!F:F,MATCH(F125,Labels!D:D,0))&amp;" -  "&amp;INDEX(Labels!G:G,MATCH(F125,Labels!D:D,0)))),"[Not found: "&amp;F125&amp;"]")</f>
        <v>Table 199 -  Number of AEs, number and % of participants with at least one AE by SOC and PT during the follow up period -safety population</v>
      </c>
      <c r="H125" s="159"/>
      <c r="I125" s="147"/>
    </row>
    <row r="126" spans="1:9" ht="32" x14ac:dyDescent="0.2">
      <c r="A126" s="147"/>
      <c r="B126" s="147"/>
      <c r="C126" s="147"/>
      <c r="D126" s="147"/>
      <c r="E126" s="147"/>
      <c r="F126" s="154" t="s">
        <v>386</v>
      </c>
      <c r="G126" s="157" t="str">
        <f>IFERROR(HYPERLINK("#Labels!G"&amp;MATCH(F126,Labels!D:D,0),IF(INDEX(Labels!H:H,MATCH(F126,Labels!D:D,0))="Yes","Figure "&amp;INDEX(Labels!F:F,MATCH(F126,Labels!D:D,0))&amp;" -  "&amp;INDEX(Labels!G:G,MATCH(F126,Labels!D:D,0)),"Table "&amp;INDEX(Labels!F:F,MATCH(F126,Labels!D:D,0))&amp;" -  "&amp;INDEX(Labels!G:G,MATCH(F126,Labels!D:D,0)))),"[Not found: "&amp;F126&amp;"]")</f>
        <v>Table 200 -  Number of AEs, number and % of participants with at least one AE related to IP by SOC and PT during the hospitalization -safety population</v>
      </c>
      <c r="H126" s="160"/>
      <c r="I126" s="147"/>
    </row>
    <row r="127" spans="1:9" ht="17" thickBot="1" x14ac:dyDescent="0.25">
      <c r="A127" s="147"/>
      <c r="B127" s="147"/>
      <c r="C127" s="147"/>
      <c r="D127" s="147"/>
      <c r="E127" s="147"/>
      <c r="F127" s="154" t="s">
        <v>387</v>
      </c>
      <c r="G127" s="161" t="str">
        <f>IFERROR(HYPERLINK("#Labels!G"&amp;MATCH(F127,Labels!D:D,0),IF(INDEX(Labels!H:H,MATCH(F127,Labels!D:D,0))="Yes","Figure "&amp;INDEX(Labels!F:F,MATCH(F127,Labels!D:D,0))&amp;" -  "&amp;INDEX(Labels!G:G,MATCH(F127,Labels!D:D,0)),"Table "&amp;INDEX(Labels!F:F,MATCH(F127,Labels!D:D,0))&amp;" -  "&amp;INDEX(Labels!G:G,MATCH(F127,Labels!D:D,0)))),"[Not found: "&amp;F127&amp;"]")</f>
        <v>Table 201 -  Number of SAEs, number and % of participants with at least one SAE -safety population</v>
      </c>
      <c r="H127" s="162"/>
      <c r="I127" s="147"/>
    </row>
    <row r="128" spans="1:9" ht="19" x14ac:dyDescent="0.2">
      <c r="A128" s="147"/>
      <c r="B128" s="147"/>
      <c r="C128" s="147"/>
      <c r="D128" s="147"/>
      <c r="E128" s="147"/>
      <c r="F128" s="147"/>
      <c r="G128" s="152"/>
      <c r="H128" s="147"/>
      <c r="I128" s="147"/>
    </row>
    <row r="129" spans="1:9" ht="19" x14ac:dyDescent="0.2">
      <c r="A129" s="147"/>
      <c r="B129" s="147"/>
      <c r="C129" s="147"/>
      <c r="D129" s="147"/>
      <c r="E129" s="147"/>
      <c r="F129" s="147"/>
      <c r="G129" s="152"/>
      <c r="H129" s="147"/>
      <c r="I129" s="147"/>
    </row>
    <row r="130" spans="1:9" ht="19" x14ac:dyDescent="0.2">
      <c r="A130" s="147"/>
      <c r="B130" s="147"/>
      <c r="C130" s="147"/>
      <c r="D130" s="147"/>
      <c r="E130" s="147"/>
      <c r="F130" s="147"/>
      <c r="G130" s="152"/>
      <c r="H130" s="147"/>
      <c r="I130" s="147"/>
    </row>
    <row r="131" spans="1:9" ht="19" x14ac:dyDescent="0.2">
      <c r="A131" s="147"/>
      <c r="B131" s="147"/>
      <c r="C131" s="147"/>
      <c r="D131" s="147"/>
      <c r="E131" s="147"/>
      <c r="F131" s="147"/>
      <c r="G131" s="152"/>
      <c r="H131" s="147"/>
      <c r="I131" s="147"/>
    </row>
    <row r="132" spans="1:9" ht="19" x14ac:dyDescent="0.2">
      <c r="A132" s="147"/>
      <c r="B132" s="147"/>
      <c r="C132" s="147"/>
      <c r="D132" s="147"/>
      <c r="E132" s="147"/>
      <c r="F132" s="147"/>
      <c r="G132" s="152"/>
      <c r="H132" s="147"/>
      <c r="I132" s="147"/>
    </row>
    <row r="133" spans="1:9" ht="19" x14ac:dyDescent="0.2">
      <c r="A133" s="147"/>
      <c r="B133" s="147"/>
      <c r="C133" s="147"/>
      <c r="D133" s="147"/>
      <c r="E133" s="147"/>
      <c r="F133" s="147"/>
      <c r="G133" s="152"/>
      <c r="H133" s="147"/>
      <c r="I133" s="147"/>
    </row>
    <row r="134" spans="1:9" ht="19" x14ac:dyDescent="0.2">
      <c r="A134" s="147"/>
      <c r="B134" s="147"/>
      <c r="C134" s="147"/>
      <c r="D134" s="147"/>
      <c r="E134" s="147"/>
      <c r="F134" s="147"/>
      <c r="G134" s="152"/>
      <c r="H134" s="147"/>
      <c r="I134" s="147"/>
    </row>
    <row r="135" spans="1:9" ht="19" x14ac:dyDescent="0.2">
      <c r="A135" s="147"/>
      <c r="B135" s="147"/>
      <c r="C135" s="147"/>
      <c r="D135" s="147"/>
      <c r="E135" s="147"/>
      <c r="F135" s="147"/>
      <c r="G135" s="152"/>
      <c r="H135" s="147"/>
      <c r="I135" s="147"/>
    </row>
    <row r="136" spans="1:9" ht="19" x14ac:dyDescent="0.2">
      <c r="A136" s="147"/>
      <c r="B136" s="147"/>
      <c r="C136" s="147"/>
      <c r="D136" s="147"/>
      <c r="E136" s="147"/>
      <c r="F136" s="147"/>
      <c r="G136" s="152"/>
      <c r="H136" s="147"/>
      <c r="I136" s="147"/>
    </row>
    <row r="137" spans="1:9" ht="19" x14ac:dyDescent="0.2">
      <c r="A137" s="147"/>
      <c r="B137" s="147"/>
      <c r="C137" s="147"/>
      <c r="D137" s="147"/>
      <c r="E137" s="147"/>
      <c r="F137" s="147"/>
      <c r="G137" s="152"/>
      <c r="H137" s="147"/>
      <c r="I137" s="147"/>
    </row>
    <row r="138" spans="1:9" ht="19" x14ac:dyDescent="0.2">
      <c r="A138" s="147"/>
      <c r="B138" s="147"/>
      <c r="C138" s="147"/>
      <c r="D138" s="147"/>
      <c r="E138" s="147"/>
      <c r="F138" s="147"/>
      <c r="G138" s="152"/>
      <c r="H138" s="147"/>
      <c r="I138" s="147"/>
    </row>
    <row r="139" spans="1:9" ht="19" x14ac:dyDescent="0.2">
      <c r="A139" s="147"/>
      <c r="B139" s="147"/>
      <c r="C139" s="147"/>
      <c r="D139" s="147"/>
      <c r="E139" s="147"/>
      <c r="F139" s="147"/>
      <c r="G139" s="152"/>
      <c r="H139" s="147"/>
      <c r="I139" s="147"/>
    </row>
    <row r="140" spans="1:9" ht="19" x14ac:dyDescent="0.2">
      <c r="A140" s="147"/>
      <c r="B140" s="147"/>
      <c r="C140" s="147"/>
      <c r="D140" s="147"/>
      <c r="E140" s="147"/>
      <c r="F140" s="147"/>
      <c r="G140" s="152"/>
      <c r="H140" s="147"/>
      <c r="I140" s="147"/>
    </row>
    <row r="141" spans="1:9" ht="19" x14ac:dyDescent="0.2">
      <c r="A141" s="147"/>
      <c r="B141" s="147"/>
      <c r="C141" s="147"/>
      <c r="D141" s="147"/>
      <c r="E141" s="147"/>
      <c r="F141" s="147"/>
      <c r="G141" s="152"/>
      <c r="H141" s="147"/>
      <c r="I141" s="147"/>
    </row>
    <row r="142" spans="1:9" ht="19" x14ac:dyDescent="0.2">
      <c r="A142" s="147"/>
      <c r="B142" s="147"/>
      <c r="C142" s="147"/>
      <c r="D142" s="147"/>
      <c r="E142" s="147"/>
      <c r="F142" s="147"/>
      <c r="G142" s="152"/>
      <c r="H142" s="147"/>
      <c r="I142" s="147"/>
    </row>
    <row r="143" spans="1:9" ht="19" x14ac:dyDescent="0.2">
      <c r="A143" s="147"/>
      <c r="B143" s="147"/>
      <c r="C143" s="147"/>
      <c r="D143" s="147"/>
      <c r="E143" s="147"/>
      <c r="F143" s="147"/>
      <c r="G143" s="152"/>
      <c r="H143" s="147"/>
      <c r="I143" s="147"/>
    </row>
    <row r="144" spans="1:9" ht="19" x14ac:dyDescent="0.2">
      <c r="A144" s="147"/>
      <c r="B144" s="147"/>
      <c r="C144" s="147"/>
      <c r="D144" s="147"/>
      <c r="E144" s="147"/>
      <c r="F144" s="147"/>
      <c r="G144" s="152"/>
      <c r="H144" s="147"/>
      <c r="I144" s="147"/>
    </row>
    <row r="145" spans="1:9" ht="19" x14ac:dyDescent="0.2">
      <c r="A145" s="147"/>
      <c r="B145" s="147"/>
      <c r="C145" s="147"/>
      <c r="D145" s="147"/>
      <c r="E145" s="147"/>
      <c r="F145" s="147"/>
      <c r="G145" s="152"/>
      <c r="H145" s="147"/>
      <c r="I145" s="147"/>
    </row>
    <row r="146" spans="1:9" ht="19" x14ac:dyDescent="0.2">
      <c r="A146" s="147"/>
      <c r="B146" s="147"/>
      <c r="C146" s="147"/>
      <c r="D146" s="147"/>
      <c r="E146" s="147"/>
      <c r="F146" s="147"/>
      <c r="G146" s="152"/>
      <c r="H146" s="147"/>
      <c r="I146" s="147"/>
    </row>
    <row r="147" spans="1:9" ht="19" x14ac:dyDescent="0.2">
      <c r="A147" s="147"/>
      <c r="B147" s="147"/>
      <c r="C147" s="147"/>
      <c r="D147" s="147"/>
      <c r="E147" s="147"/>
      <c r="F147" s="147"/>
      <c r="G147" s="152"/>
      <c r="H147" s="147"/>
      <c r="I147" s="147"/>
    </row>
    <row r="148" spans="1:9" ht="19" x14ac:dyDescent="0.2">
      <c r="A148" s="147"/>
      <c r="B148" s="147"/>
      <c r="C148" s="147"/>
      <c r="D148" s="147"/>
      <c r="E148" s="147"/>
      <c r="F148" s="147"/>
      <c r="G148" s="152"/>
      <c r="H148" s="147"/>
      <c r="I148" s="147"/>
    </row>
    <row r="149" spans="1:9" ht="19" x14ac:dyDescent="0.2">
      <c r="A149" s="147"/>
      <c r="B149" s="147"/>
      <c r="C149" s="147"/>
      <c r="D149" s="147"/>
      <c r="E149" s="147"/>
      <c r="F149" s="147"/>
      <c r="G149" s="152"/>
      <c r="H149" s="147"/>
      <c r="I149" s="147"/>
    </row>
    <row r="150" spans="1:9" ht="19" x14ac:dyDescent="0.2">
      <c r="A150" s="147"/>
      <c r="B150" s="147"/>
      <c r="C150" s="147"/>
      <c r="D150" s="147"/>
      <c r="E150" s="147"/>
      <c r="F150" s="147"/>
      <c r="G150" s="152"/>
      <c r="H150" s="147"/>
      <c r="I150" s="147"/>
    </row>
    <row r="151" spans="1:9" ht="19" x14ac:dyDescent="0.2">
      <c r="A151" s="147"/>
      <c r="B151" s="147"/>
      <c r="C151" s="147"/>
      <c r="D151" s="147"/>
      <c r="E151" s="147"/>
      <c r="F151" s="147"/>
      <c r="G151" s="152"/>
      <c r="H151" s="147"/>
      <c r="I151" s="147"/>
    </row>
    <row r="152" spans="1:9" ht="19" x14ac:dyDescent="0.2">
      <c r="A152" s="147"/>
      <c r="B152" s="147"/>
      <c r="C152" s="147"/>
      <c r="D152" s="147"/>
      <c r="E152" s="147"/>
      <c r="F152" s="147"/>
      <c r="G152" s="152"/>
      <c r="H152" s="147"/>
      <c r="I152" s="147"/>
    </row>
    <row r="153" spans="1:9" ht="19" x14ac:dyDescent="0.2">
      <c r="A153" s="147"/>
      <c r="B153" s="147"/>
      <c r="C153" s="147"/>
      <c r="D153" s="147"/>
      <c r="E153" s="147"/>
      <c r="F153" s="147"/>
      <c r="G153" s="152"/>
      <c r="H153" s="147"/>
      <c r="I153" s="147"/>
    </row>
    <row r="154" spans="1:9" ht="19" x14ac:dyDescent="0.2">
      <c r="A154" s="147"/>
      <c r="B154" s="147"/>
      <c r="C154" s="147"/>
      <c r="D154" s="147"/>
      <c r="E154" s="147"/>
      <c r="F154" s="147"/>
      <c r="G154" s="152"/>
      <c r="H154" s="147"/>
      <c r="I154" s="147"/>
    </row>
    <row r="155" spans="1:9" ht="19" x14ac:dyDescent="0.2">
      <c r="A155" s="147"/>
      <c r="B155" s="147"/>
      <c r="C155" s="147"/>
      <c r="D155" s="147"/>
      <c r="E155" s="147"/>
      <c r="F155" s="147"/>
      <c r="G155" s="152"/>
      <c r="H155" s="147"/>
      <c r="I155" s="147"/>
    </row>
    <row r="156" spans="1:9" x14ac:dyDescent="0.2">
      <c r="A156" s="147"/>
      <c r="B156" s="147"/>
      <c r="C156" s="147"/>
      <c r="D156" s="147"/>
      <c r="E156" s="147"/>
      <c r="F156" s="147"/>
      <c r="G156" s="153"/>
      <c r="H156" s="147"/>
      <c r="I156" s="147"/>
    </row>
    <row r="157" spans="1:9" x14ac:dyDescent="0.2">
      <c r="A157" s="147"/>
      <c r="B157" s="147"/>
      <c r="C157" s="147"/>
      <c r="D157" s="147"/>
      <c r="E157" s="147"/>
      <c r="F157" s="147"/>
      <c r="G157" s="153"/>
      <c r="H157" s="147"/>
      <c r="I157" s="147"/>
    </row>
    <row r="158" spans="1:9" x14ac:dyDescent="0.2">
      <c r="A158" s="147"/>
      <c r="B158" s="147"/>
      <c r="C158" s="147"/>
      <c r="D158" s="147"/>
      <c r="E158" s="147"/>
      <c r="F158" s="147"/>
      <c r="G158" s="153"/>
      <c r="H158" s="147"/>
      <c r="I158" s="147"/>
    </row>
    <row r="159" spans="1:9" x14ac:dyDescent="0.2">
      <c r="A159" s="147"/>
      <c r="B159" s="147"/>
      <c r="C159" s="147"/>
      <c r="D159" s="147"/>
      <c r="E159" s="147"/>
      <c r="F159" s="147"/>
      <c r="G159" s="153"/>
      <c r="H159" s="147"/>
      <c r="I159" s="147"/>
    </row>
    <row r="160" spans="1:9" x14ac:dyDescent="0.2">
      <c r="A160" s="147"/>
      <c r="B160" s="147"/>
      <c r="C160" s="147"/>
      <c r="D160" s="147"/>
      <c r="E160" s="147"/>
      <c r="F160" s="147"/>
      <c r="G160" s="153"/>
      <c r="H160" s="147"/>
      <c r="I160" s="147"/>
    </row>
    <row r="161" spans="1:9" x14ac:dyDescent="0.2">
      <c r="A161" s="147"/>
      <c r="B161" s="147"/>
      <c r="C161" s="147"/>
      <c r="D161" s="147"/>
      <c r="E161" s="147"/>
      <c r="F161" s="147"/>
      <c r="G161" s="153"/>
      <c r="H161" s="147"/>
      <c r="I161" s="147"/>
    </row>
    <row r="162" spans="1:9" x14ac:dyDescent="0.2">
      <c r="A162" s="147"/>
      <c r="B162" s="147"/>
      <c r="C162" s="147"/>
      <c r="D162" s="147"/>
      <c r="E162" s="147"/>
      <c r="F162" s="147"/>
      <c r="G162" s="153"/>
      <c r="H162" s="147"/>
      <c r="I162" s="147"/>
    </row>
    <row r="163" spans="1:9" x14ac:dyDescent="0.2">
      <c r="A163" s="147"/>
      <c r="B163" s="147"/>
      <c r="C163" s="147"/>
      <c r="D163" s="147"/>
      <c r="E163" s="147"/>
      <c r="F163" s="147"/>
      <c r="G163" s="153"/>
      <c r="H163" s="147"/>
      <c r="I163" s="147"/>
    </row>
    <row r="164" spans="1:9" x14ac:dyDescent="0.2">
      <c r="A164" s="147"/>
      <c r="B164" s="147"/>
      <c r="C164" s="147"/>
      <c r="D164" s="147"/>
      <c r="E164" s="147"/>
      <c r="F164" s="147"/>
      <c r="G164" s="153"/>
      <c r="H164" s="147"/>
      <c r="I164" s="147"/>
    </row>
    <row r="165" spans="1:9" x14ac:dyDescent="0.2">
      <c r="A165" s="147"/>
      <c r="B165" s="147"/>
      <c r="C165" s="147"/>
      <c r="D165" s="147"/>
      <c r="E165" s="147"/>
      <c r="F165" s="147"/>
      <c r="G165" s="153"/>
      <c r="H165" s="147"/>
      <c r="I165" s="147"/>
    </row>
    <row r="166" spans="1:9" x14ac:dyDescent="0.2">
      <c r="A166" s="147"/>
      <c r="B166" s="147"/>
      <c r="C166" s="147"/>
      <c r="D166" s="147"/>
      <c r="E166" s="147"/>
      <c r="F166" s="147"/>
      <c r="G166" s="153"/>
      <c r="H166" s="147"/>
      <c r="I166" s="147"/>
    </row>
    <row r="167" spans="1:9" x14ac:dyDescent="0.2">
      <c r="A167" s="147"/>
      <c r="B167" s="147"/>
      <c r="C167" s="147"/>
      <c r="D167" s="147"/>
      <c r="E167" s="147"/>
      <c r="F167" s="147"/>
      <c r="G167" s="153"/>
      <c r="H167" s="147"/>
      <c r="I167" s="147"/>
    </row>
    <row r="168" spans="1:9" x14ac:dyDescent="0.2">
      <c r="A168" s="147"/>
      <c r="B168" s="147"/>
      <c r="C168" s="147"/>
      <c r="D168" s="147"/>
      <c r="E168" s="147"/>
      <c r="F168" s="147"/>
      <c r="G168" s="153"/>
      <c r="H168" s="147"/>
      <c r="I168" s="147"/>
    </row>
    <row r="169" spans="1:9" x14ac:dyDescent="0.2">
      <c r="A169" s="147"/>
      <c r="B169" s="147"/>
      <c r="C169" s="147"/>
      <c r="D169" s="147"/>
      <c r="E169" s="147"/>
      <c r="F169" s="147"/>
      <c r="G169" s="153"/>
      <c r="H169" s="147"/>
      <c r="I169" s="147"/>
    </row>
    <row r="170" spans="1:9" x14ac:dyDescent="0.2">
      <c r="A170" s="147"/>
      <c r="B170" s="147"/>
      <c r="C170" s="147"/>
      <c r="D170" s="147"/>
      <c r="E170" s="147"/>
      <c r="F170" s="147"/>
      <c r="G170" s="153"/>
      <c r="H170" s="147"/>
      <c r="I170" s="147"/>
    </row>
    <row r="171" spans="1:9" x14ac:dyDescent="0.2">
      <c r="A171" s="147"/>
      <c r="B171" s="147"/>
      <c r="C171" s="147"/>
      <c r="D171" s="147"/>
      <c r="E171" s="147"/>
      <c r="F171" s="147"/>
      <c r="G171" s="153"/>
      <c r="H171" s="147"/>
      <c r="I171" s="147"/>
    </row>
    <row r="172" spans="1:9" x14ac:dyDescent="0.2">
      <c r="A172" s="147"/>
      <c r="B172" s="147"/>
      <c r="C172" s="147"/>
      <c r="D172" s="147"/>
      <c r="E172" s="147"/>
      <c r="F172" s="147"/>
      <c r="G172" s="153"/>
      <c r="H172" s="147"/>
      <c r="I172" s="147"/>
    </row>
    <row r="173" spans="1:9" x14ac:dyDescent="0.2">
      <c r="A173" s="147"/>
      <c r="B173" s="147"/>
      <c r="C173" s="147"/>
      <c r="D173" s="147"/>
      <c r="E173" s="147"/>
      <c r="F173" s="147"/>
      <c r="G173" s="153"/>
      <c r="H173" s="147"/>
      <c r="I173" s="147"/>
    </row>
    <row r="174" spans="1:9" x14ac:dyDescent="0.2">
      <c r="A174" s="147"/>
      <c r="B174" s="147"/>
      <c r="C174" s="147"/>
      <c r="D174" s="147"/>
      <c r="E174" s="147"/>
      <c r="F174" s="147"/>
      <c r="G174" s="153"/>
      <c r="H174" s="147"/>
      <c r="I174" s="147"/>
    </row>
    <row r="175" spans="1:9" x14ac:dyDescent="0.2">
      <c r="A175" s="147"/>
      <c r="B175" s="147"/>
      <c r="C175" s="147"/>
      <c r="D175" s="147"/>
      <c r="E175" s="147"/>
      <c r="F175" s="147"/>
      <c r="G175" s="153"/>
      <c r="H175" s="147"/>
      <c r="I175" s="147"/>
    </row>
    <row r="176" spans="1:9" x14ac:dyDescent="0.2">
      <c r="A176" s="147"/>
      <c r="B176" s="147"/>
      <c r="C176" s="147"/>
      <c r="D176" s="147"/>
      <c r="E176" s="147"/>
      <c r="F176" s="147"/>
      <c r="G176" s="153"/>
      <c r="H176" s="147"/>
      <c r="I176" s="147"/>
    </row>
    <row r="177" spans="1:9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</row>
    <row r="178" spans="1:9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</row>
    <row r="179" spans="1:9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</row>
    <row r="180" spans="1:9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</row>
    <row r="181" spans="1:9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</row>
    <row r="182" spans="1:9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</row>
    <row r="183" spans="1:9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</row>
    <row r="184" spans="1:9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</row>
    <row r="185" spans="1:9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</row>
    <row r="186" spans="1:9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</row>
    <row r="187" spans="1:9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</row>
    <row r="188" spans="1:9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</row>
    <row r="189" spans="1:9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</row>
    <row r="190" spans="1:9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</row>
    <row r="191" spans="1:9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</row>
    <row r="192" spans="1:9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</row>
    <row r="193" spans="1:9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</row>
    <row r="194" spans="1:9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</row>
    <row r="195" spans="1:9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</row>
    <row r="196" spans="1:9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</row>
    <row r="197" spans="1:9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</row>
    <row r="198" spans="1:9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</row>
    <row r="199" spans="1:9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</row>
    <row r="200" spans="1:9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K203"/>
  <sheetViews>
    <sheetView showGridLines="0" tabSelected="1" topLeftCell="D168" zoomScale="125" zoomScaleNormal="125" workbookViewId="0">
      <selection activeCell="G185" sqref="G185"/>
    </sheetView>
  </sheetViews>
  <sheetFormatPr baseColWidth="10" defaultColWidth="11.5" defaultRowHeight="16" x14ac:dyDescent="0.2"/>
  <cols>
    <col min="1" max="1" width="26.6640625" style="4" customWidth="1"/>
    <col min="2" max="2" width="28.33203125" style="8" customWidth="1"/>
    <col min="3" max="3" width="15" style="9" customWidth="1"/>
    <col min="4" max="4" width="30" style="4" customWidth="1"/>
    <col min="5" max="5" width="10.83203125" style="5" customWidth="1"/>
    <col min="6" max="6" width="13.33203125" style="5" customWidth="1"/>
    <col min="7" max="7" width="75" style="6" customWidth="1"/>
    <col min="8" max="8" width="10.83203125" style="7" customWidth="1"/>
    <col min="9" max="9" width="33.33203125" style="6" customWidth="1"/>
    <col min="10" max="10" width="26.6640625" style="5" customWidth="1"/>
    <col min="11" max="11" width="13.33203125" style="11" customWidth="1"/>
    <col min="12" max="16384" width="11.5" style="11"/>
  </cols>
  <sheetData>
    <row r="1" spans="1:11" s="10" customFormat="1" ht="30" customHeight="1" thickBot="1" x14ac:dyDescent="0.3">
      <c r="A1" s="84" t="s">
        <v>1</v>
      </c>
      <c r="B1" s="85" t="s">
        <v>2</v>
      </c>
      <c r="C1" s="85" t="s">
        <v>3</v>
      </c>
      <c r="D1" s="85" t="s">
        <v>4</v>
      </c>
      <c r="E1" s="85" t="s">
        <v>323</v>
      </c>
      <c r="F1" s="85" t="s">
        <v>5</v>
      </c>
      <c r="G1" s="85" t="s">
        <v>6</v>
      </c>
      <c r="H1" s="85" t="s">
        <v>7</v>
      </c>
      <c r="I1" s="86" t="s">
        <v>8</v>
      </c>
      <c r="J1" s="85" t="s">
        <v>9</v>
      </c>
      <c r="K1" s="145" t="s">
        <v>710</v>
      </c>
    </row>
    <row r="2" spans="1:11" ht="19" thickTop="1" x14ac:dyDescent="0.2">
      <c r="A2" s="83" t="s">
        <v>10</v>
      </c>
      <c r="B2" s="27"/>
      <c r="C2" s="28"/>
      <c r="D2" s="29" t="s">
        <v>12</v>
      </c>
      <c r="E2" s="30"/>
      <c r="F2" s="31">
        <f>ROW() - 1</f>
        <v>1</v>
      </c>
      <c r="G2" s="27" t="s">
        <v>669</v>
      </c>
      <c r="H2" s="30"/>
      <c r="I2" s="128"/>
      <c r="J2" s="30"/>
      <c r="K2" s="146" t="str">
        <f>HYPERLINK("#'sec1_scr_pat'!A1","Open →")</f>
        <v>Open →</v>
      </c>
    </row>
    <row r="3" spans="1:11" ht="17" x14ac:dyDescent="0.2">
      <c r="A3" s="77"/>
      <c r="B3" s="16"/>
      <c r="C3" s="17"/>
      <c r="D3" s="18" t="s">
        <v>303</v>
      </c>
      <c r="E3" s="19"/>
      <c r="F3" s="20">
        <f t="shared" ref="F3:F17" si="0">ROW() - 1</f>
        <v>2</v>
      </c>
      <c r="G3" s="16" t="s">
        <v>670</v>
      </c>
      <c r="H3" s="19"/>
      <c r="I3" s="129"/>
      <c r="J3" s="19"/>
      <c r="K3" s="146" t="str">
        <f>HYPERLINK("#'sec1_inc_pat'!A1","Open →")</f>
        <v>Open →</v>
      </c>
    </row>
    <row r="4" spans="1:11" ht="17" x14ac:dyDescent="0.2">
      <c r="A4" s="77"/>
      <c r="B4" s="16"/>
      <c r="C4" s="17"/>
      <c r="D4" s="18" t="s">
        <v>714</v>
      </c>
      <c r="E4" s="19"/>
      <c r="F4" s="20">
        <f t="shared" si="0"/>
        <v>3</v>
      </c>
      <c r="G4" s="16" t="s">
        <v>717</v>
      </c>
      <c r="H4" s="19"/>
      <c r="I4" s="129"/>
      <c r="J4" s="19"/>
      <c r="K4" s="146" t="str">
        <f>HYPERLINK("#'sec1_inc_ITT'!A1","Open →")</f>
        <v>Open →</v>
      </c>
    </row>
    <row r="5" spans="1:11" ht="17" x14ac:dyDescent="0.2">
      <c r="A5" s="77"/>
      <c r="B5" s="16"/>
      <c r="C5" s="17"/>
      <c r="D5" s="18" t="s">
        <v>715</v>
      </c>
      <c r="E5" s="19"/>
      <c r="F5" s="20">
        <f t="shared" si="0"/>
        <v>4</v>
      </c>
      <c r="G5" s="16" t="s">
        <v>718</v>
      </c>
      <c r="H5" s="19"/>
      <c r="I5" s="129"/>
      <c r="J5" s="19"/>
      <c r="K5" s="146" t="str">
        <f>HYPERLINK("#'sec1_inc_ITT'!A1","Open →")</f>
        <v>Open →</v>
      </c>
    </row>
    <row r="6" spans="1:11" ht="18" thickBot="1" x14ac:dyDescent="0.25">
      <c r="A6" s="81"/>
      <c r="B6" s="72"/>
      <c r="C6" s="73"/>
      <c r="D6" s="74" t="s">
        <v>304</v>
      </c>
      <c r="E6" s="75"/>
      <c r="F6" s="76">
        <f t="shared" si="0"/>
        <v>5</v>
      </c>
      <c r="G6" s="72" t="s">
        <v>719</v>
      </c>
      <c r="H6" s="75"/>
      <c r="I6" s="130"/>
      <c r="J6" s="75"/>
      <c r="K6" s="146" t="str">
        <f>HYPERLINK("#'sec1_nb_vt'!A1","Open →")</f>
        <v>Open →</v>
      </c>
    </row>
    <row r="7" spans="1:11" ht="18" x14ac:dyDescent="0.2">
      <c r="A7" s="87" t="s">
        <v>14</v>
      </c>
      <c r="B7" s="37"/>
      <c r="C7" s="38"/>
      <c r="D7" s="39" t="s">
        <v>643</v>
      </c>
      <c r="E7" s="40"/>
      <c r="F7" s="41">
        <f>ROW() - 1</f>
        <v>6</v>
      </c>
      <c r="G7" s="37" t="s">
        <v>720</v>
      </c>
      <c r="H7" s="40"/>
      <c r="I7" s="131"/>
      <c r="J7" s="40"/>
      <c r="K7" s="146" t="str">
        <f>HYPERLINK("#'sec2_bas_char_tot'!A1","Open →")</f>
        <v>Open →</v>
      </c>
    </row>
    <row r="8" spans="1:11" x14ac:dyDescent="0.2">
      <c r="A8" s="93"/>
      <c r="B8" s="64"/>
      <c r="C8" s="65"/>
      <c r="D8" s="66" t="s">
        <v>15</v>
      </c>
      <c r="E8" s="67"/>
      <c r="F8" s="68">
        <f t="shared" si="0"/>
        <v>7</v>
      </c>
      <c r="G8" s="64" t="s">
        <v>721</v>
      </c>
      <c r="H8" s="67"/>
      <c r="I8" s="132"/>
      <c r="J8" s="67"/>
      <c r="K8" s="146" t="str">
        <f>HYPERLINK("#'sec2_bas_char'!A1","Open →")</f>
        <v>Open →</v>
      </c>
    </row>
    <row r="9" spans="1:11" x14ac:dyDescent="0.2">
      <c r="A9" s="94"/>
      <c r="B9" s="95" t="s">
        <v>623</v>
      </c>
      <c r="C9" s="96"/>
      <c r="D9" s="97" t="s">
        <v>621</v>
      </c>
      <c r="E9" s="98"/>
      <c r="F9" s="99">
        <f>ROW() - 1</f>
        <v>8</v>
      </c>
      <c r="G9" s="100" t="s">
        <v>622</v>
      </c>
      <c r="H9" s="98"/>
      <c r="I9" s="133"/>
      <c r="J9" s="98"/>
      <c r="K9" s="146" t="str">
        <f>HYPERLINK("#'sec2_taste'!A1","Open →")</f>
        <v>Open →</v>
      </c>
    </row>
    <row r="10" spans="1:11" x14ac:dyDescent="0.2">
      <c r="A10" s="93"/>
      <c r="B10" s="64"/>
      <c r="C10" s="65"/>
      <c r="D10" s="66" t="s">
        <v>618</v>
      </c>
      <c r="E10" s="67"/>
      <c r="F10" s="68">
        <f>ROW() - 1</f>
        <v>9</v>
      </c>
      <c r="G10" s="64" t="s">
        <v>619</v>
      </c>
      <c r="H10" s="67"/>
      <c r="I10" s="132"/>
      <c r="J10" s="67"/>
      <c r="K10" s="143"/>
    </row>
    <row r="11" spans="1:11" x14ac:dyDescent="0.2">
      <c r="A11" s="94"/>
      <c r="B11" s="95" t="s">
        <v>624</v>
      </c>
      <c r="C11" s="96"/>
      <c r="D11" s="97" t="s">
        <v>625</v>
      </c>
      <c r="E11" s="98"/>
      <c r="F11" s="99">
        <f>ROW() - 1</f>
        <v>10</v>
      </c>
      <c r="G11" s="100" t="s">
        <v>626</v>
      </c>
      <c r="H11" s="98"/>
      <c r="I11" s="133"/>
      <c r="J11" s="98"/>
      <c r="K11" s="143"/>
    </row>
    <row r="12" spans="1:11" x14ac:dyDescent="0.2">
      <c r="A12" s="93"/>
      <c r="B12" s="64"/>
      <c r="C12" s="65"/>
      <c r="D12" s="66" t="s">
        <v>627</v>
      </c>
      <c r="E12" s="67"/>
      <c r="F12" s="68">
        <f>ROW() - 1</f>
        <v>11</v>
      </c>
      <c r="G12" s="64" t="s">
        <v>628</v>
      </c>
      <c r="H12" s="67"/>
      <c r="I12" s="132"/>
      <c r="J12" s="67"/>
      <c r="K12" s="146" t="str">
        <f>HYPERLINK("#'sec2_accept'!A1","Open →")</f>
        <v>Open →</v>
      </c>
    </row>
    <row r="13" spans="1:11" ht="17" x14ac:dyDescent="0.2">
      <c r="A13" s="102"/>
      <c r="B13" s="103" t="s">
        <v>648</v>
      </c>
      <c r="C13" s="104"/>
      <c r="D13" s="105" t="s">
        <v>17</v>
      </c>
      <c r="E13" s="106"/>
      <c r="F13" s="107">
        <f t="shared" si="0"/>
        <v>12</v>
      </c>
      <c r="G13" s="108" t="s">
        <v>722</v>
      </c>
      <c r="H13" s="106" t="s">
        <v>13</v>
      </c>
      <c r="I13" s="134"/>
      <c r="J13" s="106"/>
      <c r="K13" s="146" t="str">
        <f>HYPERLINK("#'sec2_mehs_soc'!A1","Open →")</f>
        <v>Open →</v>
      </c>
    </row>
    <row r="14" spans="1:11" x14ac:dyDescent="0.2">
      <c r="A14" s="94"/>
      <c r="B14" s="95" t="s">
        <v>649</v>
      </c>
      <c r="C14" s="96"/>
      <c r="D14" s="97" t="s">
        <v>654</v>
      </c>
      <c r="E14" s="98" t="s">
        <v>13</v>
      </c>
      <c r="F14" s="99">
        <f>ROW() - 1</f>
        <v>13</v>
      </c>
      <c r="G14" s="100" t="s">
        <v>723</v>
      </c>
      <c r="H14" s="98"/>
      <c r="I14" s="133"/>
      <c r="J14" s="98"/>
      <c r="K14" s="146" t="str">
        <f>HYPERLINK("#'sec2_labdiag'!A1","Open →")</f>
        <v>Open →</v>
      </c>
    </row>
    <row r="15" spans="1:11" ht="17" x14ac:dyDescent="0.2">
      <c r="A15" s="91"/>
      <c r="B15" s="42"/>
      <c r="C15" s="43"/>
      <c r="D15" s="44" t="s">
        <v>16</v>
      </c>
      <c r="E15" s="45"/>
      <c r="F15" s="46">
        <f t="shared" si="0"/>
        <v>14</v>
      </c>
      <c r="G15" s="42" t="s">
        <v>724</v>
      </c>
      <c r="H15" s="45"/>
      <c r="I15" s="135"/>
      <c r="J15" s="45"/>
      <c r="K15" s="146" t="str">
        <f>HYPERLINK("#'sec2_labdiag'!A1","Open →")</f>
        <v>Open →</v>
      </c>
    </row>
    <row r="16" spans="1:11" x14ac:dyDescent="0.2">
      <c r="A16" s="79"/>
      <c r="B16" s="21"/>
      <c r="C16" s="22"/>
      <c r="D16" s="23" t="s">
        <v>660</v>
      </c>
      <c r="E16" s="24" t="s">
        <v>13</v>
      </c>
      <c r="F16" s="25">
        <f>ROW() - 1</f>
        <v>15</v>
      </c>
      <c r="G16" s="21" t="s">
        <v>725</v>
      </c>
      <c r="H16" s="24"/>
      <c r="I16" s="136"/>
      <c r="J16" s="24"/>
      <c r="K16" s="146" t="str">
        <f>HYPERLINK("#'sec2_res_mal'!A1","Open →")</f>
        <v>Open →</v>
      </c>
    </row>
    <row r="17" spans="1:11" ht="17" x14ac:dyDescent="0.2">
      <c r="A17" s="78"/>
      <c r="B17" s="21"/>
      <c r="C17" s="22"/>
      <c r="D17" s="23" t="s">
        <v>18</v>
      </c>
      <c r="E17" s="24"/>
      <c r="F17" s="25">
        <f t="shared" si="0"/>
        <v>16</v>
      </c>
      <c r="G17" s="21" t="s">
        <v>726</v>
      </c>
      <c r="H17" s="24" t="s">
        <v>13</v>
      </c>
      <c r="I17" s="136"/>
      <c r="J17" s="24"/>
      <c r="K17" s="146" t="str">
        <f>HYPERLINK("#'sec2_res_mal'!A1","Open →")</f>
        <v>Open →</v>
      </c>
    </row>
    <row r="18" spans="1:11" x14ac:dyDescent="0.2">
      <c r="A18" s="79"/>
      <c r="B18" s="21"/>
      <c r="C18" s="22"/>
      <c r="D18" s="23" t="s">
        <v>659</v>
      </c>
      <c r="E18" s="24" t="s">
        <v>13</v>
      </c>
      <c r="F18" s="25">
        <f>ROW() - 1</f>
        <v>17</v>
      </c>
      <c r="G18" s="21" t="s">
        <v>727</v>
      </c>
      <c r="H18" s="24"/>
      <c r="I18" s="136"/>
      <c r="J18" s="24"/>
      <c r="K18" s="146" t="str">
        <f>HYPERLINK("#'sec2_vit_sg'!A1","Open →")</f>
        <v>Open →</v>
      </c>
    </row>
    <row r="19" spans="1:11" ht="17" x14ac:dyDescent="0.2">
      <c r="A19" s="78"/>
      <c r="B19" s="21"/>
      <c r="C19" s="22"/>
      <c r="D19" s="23" t="s">
        <v>604</v>
      </c>
      <c r="E19" s="24"/>
      <c r="F19" s="25">
        <f>ROW() - 1</f>
        <v>18</v>
      </c>
      <c r="G19" s="21" t="s">
        <v>728</v>
      </c>
      <c r="H19" s="24"/>
      <c r="I19" s="136"/>
      <c r="J19" s="24"/>
      <c r="K19" s="146" t="str">
        <f>HYPERLINK("#'sec2_vit_sg'!A1","Open →")</f>
        <v>Open →</v>
      </c>
    </row>
    <row r="20" spans="1:11" x14ac:dyDescent="0.2">
      <c r="A20" s="79"/>
      <c r="B20" s="21"/>
      <c r="C20" s="22"/>
      <c r="D20" s="23" t="s">
        <v>661</v>
      </c>
      <c r="E20" s="24" t="s">
        <v>13</v>
      </c>
      <c r="F20" s="25">
        <f>ROW() - 1</f>
        <v>19</v>
      </c>
      <c r="G20" s="21" t="s">
        <v>729</v>
      </c>
      <c r="H20" s="24"/>
      <c r="I20" s="136"/>
      <c r="J20" s="24"/>
      <c r="K20" s="143"/>
    </row>
    <row r="21" spans="1:11" x14ac:dyDescent="0.2">
      <c r="A21" s="109"/>
      <c r="B21" s="57"/>
      <c r="C21" s="58"/>
      <c r="D21" s="59" t="s">
        <v>461</v>
      </c>
      <c r="E21" s="60"/>
      <c r="F21" s="61">
        <f>ROW() - 1</f>
        <v>20</v>
      </c>
      <c r="G21" s="57" t="s">
        <v>730</v>
      </c>
      <c r="H21" s="60"/>
      <c r="I21" s="137"/>
      <c r="J21" s="60"/>
      <c r="K21" s="143"/>
    </row>
    <row r="22" spans="1:11" ht="17" x14ac:dyDescent="0.2">
      <c r="A22" s="101"/>
      <c r="B22" s="95" t="s">
        <v>608</v>
      </c>
      <c r="C22" s="96"/>
      <c r="D22" s="97" t="s">
        <v>20</v>
      </c>
      <c r="E22" s="98" t="s">
        <v>13</v>
      </c>
      <c r="F22" s="99">
        <f>ROW() - 1</f>
        <v>21</v>
      </c>
      <c r="G22" s="100" t="s">
        <v>21</v>
      </c>
      <c r="H22" s="98" t="s">
        <v>13</v>
      </c>
      <c r="I22" s="133" t="s">
        <v>22</v>
      </c>
      <c r="J22" s="98"/>
      <c r="K22" s="146" t="str">
        <f>HYPERLINK("#'sec2_rhat'!A1","Open →")</f>
        <v>Open →</v>
      </c>
    </row>
    <row r="23" spans="1:11" s="12" customFormat="1" ht="32" x14ac:dyDescent="0.2">
      <c r="A23" s="91"/>
      <c r="B23" s="42"/>
      <c r="C23" s="43"/>
      <c r="D23" s="44" t="s">
        <v>23</v>
      </c>
      <c r="E23" s="45" t="s">
        <v>13</v>
      </c>
      <c r="F23" s="46">
        <f t="shared" ref="F23:F123" si="1">ROW() - 1</f>
        <v>22</v>
      </c>
      <c r="G23" s="42" t="s">
        <v>731</v>
      </c>
      <c r="H23" s="45" t="s">
        <v>13</v>
      </c>
      <c r="I23" s="135" t="s">
        <v>24</v>
      </c>
      <c r="J23" s="45"/>
      <c r="K23" s="146" t="str">
        <f>HYPERLINK("#'sec2_rhat'!A1","Open →")</f>
        <v>Open →</v>
      </c>
    </row>
    <row r="24" spans="1:11" s="12" customFormat="1" ht="17" x14ac:dyDescent="0.2">
      <c r="A24" s="78"/>
      <c r="B24" s="21"/>
      <c r="C24" s="22"/>
      <c r="D24" s="23" t="s">
        <v>25</v>
      </c>
      <c r="E24" s="24" t="s">
        <v>13</v>
      </c>
      <c r="F24" s="25">
        <f t="shared" si="1"/>
        <v>23</v>
      </c>
      <c r="G24" s="21" t="s">
        <v>26</v>
      </c>
      <c r="H24" s="24"/>
      <c r="I24" s="136" t="s">
        <v>22</v>
      </c>
      <c r="J24" s="24"/>
      <c r="K24" s="143"/>
    </row>
    <row r="25" spans="1:11" s="12" customFormat="1" ht="32" x14ac:dyDescent="0.2">
      <c r="A25" s="88"/>
      <c r="B25" s="57"/>
      <c r="C25" s="58"/>
      <c r="D25" s="59" t="s">
        <v>27</v>
      </c>
      <c r="E25" s="60" t="s">
        <v>13</v>
      </c>
      <c r="F25" s="61">
        <f t="shared" si="1"/>
        <v>24</v>
      </c>
      <c r="G25" s="57" t="s">
        <v>732</v>
      </c>
      <c r="H25" s="60"/>
      <c r="I25" s="137" t="s">
        <v>24</v>
      </c>
      <c r="J25" s="60"/>
      <c r="K25" s="143"/>
    </row>
    <row r="26" spans="1:11" ht="32" x14ac:dyDescent="0.2">
      <c r="A26" s="101"/>
      <c r="B26" s="95" t="s">
        <v>110</v>
      </c>
      <c r="C26" s="96"/>
      <c r="D26" s="97" t="s">
        <v>29</v>
      </c>
      <c r="E26" s="98"/>
      <c r="F26" s="99">
        <f t="shared" si="1"/>
        <v>25</v>
      </c>
      <c r="G26" s="100" t="s">
        <v>733</v>
      </c>
      <c r="H26" s="98" t="s">
        <v>13</v>
      </c>
      <c r="I26" s="133"/>
      <c r="J26" s="98"/>
      <c r="K26" s="146" t="str">
        <f>HYPERLINK("#'sec2_physex'!A1","Open →")</f>
        <v>Open →</v>
      </c>
    </row>
    <row r="27" spans="1:11" ht="32" x14ac:dyDescent="0.2">
      <c r="A27" s="110"/>
      <c r="B27" s="64"/>
      <c r="C27" s="65"/>
      <c r="D27" s="66" t="s">
        <v>30</v>
      </c>
      <c r="E27" s="67"/>
      <c r="F27" s="68">
        <f t="shared" si="1"/>
        <v>26</v>
      </c>
      <c r="G27" s="64" t="s">
        <v>734</v>
      </c>
      <c r="H27" s="67" t="s">
        <v>13</v>
      </c>
      <c r="I27" s="132"/>
      <c r="J27" s="67"/>
      <c r="K27" s="146" t="str">
        <f>HYPERLINK("#'sec2_neurex'!A1","Open →")</f>
        <v>Open →</v>
      </c>
    </row>
    <row r="28" spans="1:11" ht="32" x14ac:dyDescent="0.2">
      <c r="A28" s="101"/>
      <c r="B28" s="95" t="s">
        <v>650</v>
      </c>
      <c r="C28" s="96"/>
      <c r="D28" s="97" t="s">
        <v>31</v>
      </c>
      <c r="E28" s="98"/>
      <c r="F28" s="99">
        <f t="shared" si="1"/>
        <v>27</v>
      </c>
      <c r="G28" s="100" t="s">
        <v>735</v>
      </c>
      <c r="H28" s="98"/>
      <c r="I28" s="133"/>
      <c r="J28" s="98"/>
      <c r="K28" s="143"/>
    </row>
    <row r="29" spans="1:11" ht="32" x14ac:dyDescent="0.2">
      <c r="A29" s="91"/>
      <c r="B29" s="42"/>
      <c r="C29" s="43"/>
      <c r="D29" s="44" t="s">
        <v>32</v>
      </c>
      <c r="E29" s="45"/>
      <c r="F29" s="46">
        <f t="shared" si="1"/>
        <v>28</v>
      </c>
      <c r="G29" s="42" t="s">
        <v>736</v>
      </c>
      <c r="H29" s="45"/>
      <c r="I29" s="135"/>
      <c r="J29" s="45"/>
      <c r="K29" s="143"/>
    </row>
    <row r="30" spans="1:11" ht="32" x14ac:dyDescent="0.2">
      <c r="A30" s="78"/>
      <c r="B30" s="21"/>
      <c r="C30" s="22"/>
      <c r="D30" s="23" t="s">
        <v>33</v>
      </c>
      <c r="E30" s="24"/>
      <c r="F30" s="25">
        <f t="shared" si="1"/>
        <v>29</v>
      </c>
      <c r="G30" s="21" t="s">
        <v>737</v>
      </c>
      <c r="H30" s="24"/>
      <c r="I30" s="136"/>
      <c r="J30" s="24"/>
      <c r="K30" s="143"/>
    </row>
    <row r="31" spans="1:11" ht="32" x14ac:dyDescent="0.2">
      <c r="A31" s="78"/>
      <c r="B31" s="21"/>
      <c r="C31" s="22"/>
      <c r="D31" s="23" t="s">
        <v>34</v>
      </c>
      <c r="E31" s="24"/>
      <c r="F31" s="25">
        <f t="shared" si="1"/>
        <v>30</v>
      </c>
      <c r="G31" s="21" t="s">
        <v>738</v>
      </c>
      <c r="H31" s="24"/>
      <c r="I31" s="136"/>
      <c r="J31" s="24"/>
      <c r="K31" s="143"/>
    </row>
    <row r="32" spans="1:11" ht="32" x14ac:dyDescent="0.2">
      <c r="A32" s="78"/>
      <c r="B32" s="21"/>
      <c r="C32" s="22"/>
      <c r="D32" s="23" t="s">
        <v>35</v>
      </c>
      <c r="E32" s="24"/>
      <c r="F32" s="25">
        <f t="shared" si="1"/>
        <v>31</v>
      </c>
      <c r="G32" s="21" t="s">
        <v>739</v>
      </c>
      <c r="H32" s="24"/>
      <c r="I32" s="136"/>
      <c r="J32" s="24"/>
      <c r="K32" s="143"/>
    </row>
    <row r="33" spans="1:11" ht="32" x14ac:dyDescent="0.2">
      <c r="A33" s="78"/>
      <c r="B33" s="21"/>
      <c r="C33" s="22"/>
      <c r="D33" s="23" t="s">
        <v>36</v>
      </c>
      <c r="E33" s="24"/>
      <c r="F33" s="25">
        <f t="shared" si="1"/>
        <v>32</v>
      </c>
      <c r="G33" s="21" t="s">
        <v>740</v>
      </c>
      <c r="H33" s="24"/>
      <c r="I33" s="136"/>
      <c r="J33" s="24"/>
      <c r="K33" s="143"/>
    </row>
    <row r="34" spans="1:11" ht="32" x14ac:dyDescent="0.2">
      <c r="A34" s="78"/>
      <c r="B34" s="21"/>
      <c r="C34" s="22"/>
      <c r="D34" s="23" t="s">
        <v>37</v>
      </c>
      <c r="E34" s="24"/>
      <c r="F34" s="25">
        <f t="shared" si="1"/>
        <v>33</v>
      </c>
      <c r="G34" s="21" t="s">
        <v>741</v>
      </c>
      <c r="H34" s="24"/>
      <c r="I34" s="136"/>
      <c r="J34" s="24"/>
      <c r="K34" s="143"/>
    </row>
    <row r="35" spans="1:11" ht="32" x14ac:dyDescent="0.2">
      <c r="A35" s="78"/>
      <c r="B35" s="21"/>
      <c r="C35" s="22"/>
      <c r="D35" s="23" t="s">
        <v>325</v>
      </c>
      <c r="E35" s="24"/>
      <c r="F35" s="25">
        <f t="shared" si="1"/>
        <v>34</v>
      </c>
      <c r="G35" s="21" t="s">
        <v>742</v>
      </c>
      <c r="H35" s="24"/>
      <c r="I35" s="136"/>
      <c r="J35" s="24"/>
      <c r="K35" s="143"/>
    </row>
    <row r="36" spans="1:11" ht="32" x14ac:dyDescent="0.2">
      <c r="A36" s="78"/>
      <c r="B36" s="21"/>
      <c r="C36" s="22"/>
      <c r="D36" s="23" t="s">
        <v>326</v>
      </c>
      <c r="E36" s="24"/>
      <c r="F36" s="25">
        <f t="shared" si="1"/>
        <v>35</v>
      </c>
      <c r="G36" s="21" t="s">
        <v>743</v>
      </c>
      <c r="H36" s="24"/>
      <c r="I36" s="136"/>
      <c r="J36" s="24"/>
      <c r="K36" s="143"/>
    </row>
    <row r="37" spans="1:11" ht="32" x14ac:dyDescent="0.2">
      <c r="A37" s="78"/>
      <c r="B37" s="21"/>
      <c r="C37" s="22"/>
      <c r="D37" s="23" t="s">
        <v>38</v>
      </c>
      <c r="E37" s="24"/>
      <c r="F37" s="25">
        <f t="shared" si="1"/>
        <v>36</v>
      </c>
      <c r="G37" s="21" t="s">
        <v>744</v>
      </c>
      <c r="H37" s="24"/>
      <c r="I37" s="136"/>
      <c r="J37" s="24"/>
      <c r="K37" s="143"/>
    </row>
    <row r="38" spans="1:11" ht="32" x14ac:dyDescent="0.2">
      <c r="A38" s="78"/>
      <c r="B38" s="21"/>
      <c r="C38" s="22"/>
      <c r="D38" s="23" t="s">
        <v>39</v>
      </c>
      <c r="E38" s="24"/>
      <c r="F38" s="25">
        <f t="shared" si="1"/>
        <v>37</v>
      </c>
      <c r="G38" s="21" t="s">
        <v>745</v>
      </c>
      <c r="H38" s="24"/>
      <c r="I38" s="136"/>
      <c r="J38" s="24"/>
      <c r="K38" s="143"/>
    </row>
    <row r="39" spans="1:11" ht="32" x14ac:dyDescent="0.2">
      <c r="A39" s="78"/>
      <c r="B39" s="21"/>
      <c r="C39" s="22"/>
      <c r="D39" s="23" t="s">
        <v>40</v>
      </c>
      <c r="E39" s="24"/>
      <c r="F39" s="25">
        <f t="shared" si="1"/>
        <v>38</v>
      </c>
      <c r="G39" s="21" t="s">
        <v>746</v>
      </c>
      <c r="H39" s="24"/>
      <c r="I39" s="136"/>
      <c r="J39" s="24"/>
      <c r="K39" s="143"/>
    </row>
    <row r="40" spans="1:11" ht="32" x14ac:dyDescent="0.2">
      <c r="A40" s="78"/>
      <c r="B40" s="21"/>
      <c r="C40" s="22"/>
      <c r="D40" s="23" t="s">
        <v>41</v>
      </c>
      <c r="E40" s="24"/>
      <c r="F40" s="25">
        <f>ROW() - 1</f>
        <v>39</v>
      </c>
      <c r="G40" s="21" t="s">
        <v>747</v>
      </c>
      <c r="H40" s="24"/>
      <c r="I40" s="136"/>
      <c r="J40" s="24"/>
      <c r="K40" s="143"/>
    </row>
    <row r="41" spans="1:11" ht="32" x14ac:dyDescent="0.2">
      <c r="A41" s="78"/>
      <c r="B41" s="21"/>
      <c r="C41" s="22"/>
      <c r="D41" s="23" t="s">
        <v>42</v>
      </c>
      <c r="E41" s="24"/>
      <c r="F41" s="25">
        <f t="shared" si="1"/>
        <v>40</v>
      </c>
      <c r="G41" s="21" t="s">
        <v>748</v>
      </c>
      <c r="H41" s="24"/>
      <c r="I41" s="136"/>
      <c r="J41" s="24"/>
      <c r="K41" s="143"/>
    </row>
    <row r="42" spans="1:11" ht="32" x14ac:dyDescent="0.2">
      <c r="A42" s="78"/>
      <c r="B42" s="21"/>
      <c r="C42" s="22"/>
      <c r="D42" s="23" t="s">
        <v>43</v>
      </c>
      <c r="E42" s="24"/>
      <c r="F42" s="25">
        <f t="shared" si="1"/>
        <v>41</v>
      </c>
      <c r="G42" s="21" t="s">
        <v>749</v>
      </c>
      <c r="H42" s="24"/>
      <c r="I42" s="136"/>
      <c r="J42" s="24"/>
      <c r="K42" s="143"/>
    </row>
    <row r="43" spans="1:11" ht="32" x14ac:dyDescent="0.2">
      <c r="A43" s="78"/>
      <c r="B43" s="21"/>
      <c r="C43" s="22"/>
      <c r="D43" s="23" t="s">
        <v>44</v>
      </c>
      <c r="E43" s="24"/>
      <c r="F43" s="25">
        <f t="shared" si="1"/>
        <v>42</v>
      </c>
      <c r="G43" s="21" t="s">
        <v>750</v>
      </c>
      <c r="H43" s="24"/>
      <c r="I43" s="136"/>
      <c r="J43" s="24"/>
      <c r="K43" s="143"/>
    </row>
    <row r="44" spans="1:11" ht="32" x14ac:dyDescent="0.2">
      <c r="A44" s="78"/>
      <c r="B44" s="21"/>
      <c r="C44" s="22"/>
      <c r="D44" s="23" t="s">
        <v>45</v>
      </c>
      <c r="E44" s="24"/>
      <c r="F44" s="25">
        <f t="shared" si="1"/>
        <v>43</v>
      </c>
      <c r="G44" s="21" t="s">
        <v>751</v>
      </c>
      <c r="H44" s="24"/>
      <c r="I44" s="136"/>
      <c r="J44" s="24"/>
      <c r="K44" s="143"/>
    </row>
    <row r="45" spans="1:11" ht="32" x14ac:dyDescent="0.2">
      <c r="A45" s="78"/>
      <c r="B45" s="21"/>
      <c r="C45" s="22"/>
      <c r="D45" s="23" t="s">
        <v>46</v>
      </c>
      <c r="E45" s="24"/>
      <c r="F45" s="25">
        <f t="shared" si="1"/>
        <v>44</v>
      </c>
      <c r="G45" s="21" t="s">
        <v>752</v>
      </c>
      <c r="H45" s="24"/>
      <c r="I45" s="136"/>
      <c r="J45" s="24"/>
      <c r="K45" s="143"/>
    </row>
    <row r="46" spans="1:11" ht="32" x14ac:dyDescent="0.2">
      <c r="A46" s="78"/>
      <c r="B46" s="21"/>
      <c r="C46" s="22"/>
      <c r="D46" s="23" t="s">
        <v>47</v>
      </c>
      <c r="E46" s="24"/>
      <c r="F46" s="25">
        <f t="shared" si="1"/>
        <v>45</v>
      </c>
      <c r="G46" s="21" t="s">
        <v>753</v>
      </c>
      <c r="H46" s="24"/>
      <c r="I46" s="136"/>
      <c r="J46" s="24"/>
      <c r="K46" s="143"/>
    </row>
    <row r="47" spans="1:11" ht="32" x14ac:dyDescent="0.2">
      <c r="A47" s="78"/>
      <c r="B47" s="21"/>
      <c r="C47" s="22"/>
      <c r="D47" s="23" t="s">
        <v>48</v>
      </c>
      <c r="E47" s="24"/>
      <c r="F47" s="25">
        <f t="shared" si="1"/>
        <v>46</v>
      </c>
      <c r="G47" s="21" t="s">
        <v>754</v>
      </c>
      <c r="H47" s="24"/>
      <c r="I47" s="136"/>
      <c r="J47" s="24"/>
      <c r="K47" s="143"/>
    </row>
    <row r="48" spans="1:11" ht="32" x14ac:dyDescent="0.2">
      <c r="A48" s="78"/>
      <c r="B48" s="21"/>
      <c r="C48" s="22"/>
      <c r="D48" s="23" t="s">
        <v>49</v>
      </c>
      <c r="E48" s="24"/>
      <c r="F48" s="25">
        <f t="shared" si="1"/>
        <v>47</v>
      </c>
      <c r="G48" s="21" t="s">
        <v>755</v>
      </c>
      <c r="H48" s="24"/>
      <c r="I48" s="136"/>
      <c r="J48" s="24"/>
      <c r="K48" s="143"/>
    </row>
    <row r="49" spans="1:11" ht="32" x14ac:dyDescent="0.2">
      <c r="A49" s="78"/>
      <c r="B49" s="21"/>
      <c r="C49" s="22"/>
      <c r="D49" s="23" t="s">
        <v>50</v>
      </c>
      <c r="E49" s="24"/>
      <c r="F49" s="25">
        <f t="shared" si="1"/>
        <v>48</v>
      </c>
      <c r="G49" s="21" t="s">
        <v>756</v>
      </c>
      <c r="H49" s="24"/>
      <c r="I49" s="136"/>
      <c r="J49" s="24"/>
      <c r="K49" s="143"/>
    </row>
    <row r="50" spans="1:11" ht="32" x14ac:dyDescent="0.2">
      <c r="A50" s="78"/>
      <c r="B50" s="21"/>
      <c r="C50" s="22"/>
      <c r="D50" s="23" t="s">
        <v>51</v>
      </c>
      <c r="E50" s="24"/>
      <c r="F50" s="25">
        <f t="shared" si="1"/>
        <v>49</v>
      </c>
      <c r="G50" s="21" t="s">
        <v>757</v>
      </c>
      <c r="H50" s="24"/>
      <c r="I50" s="136"/>
      <c r="J50" s="24"/>
      <c r="K50" s="143"/>
    </row>
    <row r="51" spans="1:11" ht="18" thickBot="1" x14ac:dyDescent="0.25">
      <c r="A51" s="88"/>
      <c r="B51" s="57"/>
      <c r="C51" s="58"/>
      <c r="D51" s="59" t="s">
        <v>52</v>
      </c>
      <c r="E51" s="60" t="s">
        <v>13</v>
      </c>
      <c r="F51" s="61">
        <f t="shared" si="1"/>
        <v>50</v>
      </c>
      <c r="G51" s="57" t="s">
        <v>758</v>
      </c>
      <c r="H51" s="60"/>
      <c r="I51" s="137"/>
      <c r="J51" s="60"/>
      <c r="K51" s="146" t="str">
        <f>HYPERLINK("#'sec2_ecg'!A1","Open →")</f>
        <v>Open →</v>
      </c>
    </row>
    <row r="52" spans="1:11" ht="18" x14ac:dyDescent="0.2">
      <c r="A52" s="89" t="s">
        <v>53</v>
      </c>
      <c r="B52" s="47"/>
      <c r="C52" s="48"/>
      <c r="D52" s="49" t="s">
        <v>54</v>
      </c>
      <c r="E52" s="50" t="s">
        <v>13</v>
      </c>
      <c r="F52" s="51">
        <f t="shared" si="1"/>
        <v>51</v>
      </c>
      <c r="G52" s="47" t="s">
        <v>759</v>
      </c>
      <c r="H52" s="50"/>
      <c r="I52" s="138"/>
      <c r="J52" s="50"/>
      <c r="K52" s="146" t="str">
        <f>HYPERLINK("#'sec3_patdev1'!A1","Open →")</f>
        <v>Open →</v>
      </c>
    </row>
    <row r="53" spans="1:11" ht="18" thickBot="1" x14ac:dyDescent="0.25">
      <c r="A53" s="90"/>
      <c r="B53" s="32"/>
      <c r="C53" s="33"/>
      <c r="D53" s="34" t="s">
        <v>55</v>
      </c>
      <c r="E53" s="35" t="s">
        <v>13</v>
      </c>
      <c r="F53" s="36">
        <f t="shared" si="1"/>
        <v>52</v>
      </c>
      <c r="G53" s="32" t="s">
        <v>760</v>
      </c>
      <c r="H53" s="35"/>
      <c r="I53" s="139"/>
      <c r="J53" s="35"/>
      <c r="K53" s="146" t="str">
        <f>HYPERLINK("#'sec3_patdev2'!A1","Open →")</f>
        <v>Open →</v>
      </c>
    </row>
    <row r="54" spans="1:11" ht="32" x14ac:dyDescent="0.2">
      <c r="A54" s="87" t="s">
        <v>56</v>
      </c>
      <c r="B54" s="71" t="s">
        <v>57</v>
      </c>
      <c r="C54" s="38"/>
      <c r="D54" s="39" t="s">
        <v>58</v>
      </c>
      <c r="E54" s="40" t="s">
        <v>13</v>
      </c>
      <c r="F54" s="41">
        <f t="shared" si="1"/>
        <v>53</v>
      </c>
      <c r="G54" s="37" t="s">
        <v>671</v>
      </c>
      <c r="H54" s="40"/>
      <c r="I54" s="131"/>
      <c r="J54" s="40"/>
      <c r="K54" s="143"/>
    </row>
    <row r="55" spans="1:11" ht="32" x14ac:dyDescent="0.2">
      <c r="A55" s="91"/>
      <c r="B55" s="70"/>
      <c r="C55" s="43"/>
      <c r="D55" s="44" t="s">
        <v>716</v>
      </c>
      <c r="E55" s="45" t="s">
        <v>13</v>
      </c>
      <c r="F55" s="46">
        <f t="shared" si="1"/>
        <v>54</v>
      </c>
      <c r="G55" s="42" t="s">
        <v>761</v>
      </c>
      <c r="H55" s="45"/>
      <c r="I55" s="135"/>
      <c r="J55" s="45"/>
      <c r="K55" s="143"/>
    </row>
    <row r="56" spans="1:11" ht="32" x14ac:dyDescent="0.2">
      <c r="A56" s="88"/>
      <c r="B56" s="92"/>
      <c r="C56" s="58"/>
      <c r="D56" s="59" t="s">
        <v>59</v>
      </c>
      <c r="E56" s="60" t="s">
        <v>13</v>
      </c>
      <c r="F56" s="61">
        <f t="shared" si="1"/>
        <v>55</v>
      </c>
      <c r="G56" s="57" t="s">
        <v>672</v>
      </c>
      <c r="H56" s="60"/>
      <c r="I56" s="137"/>
      <c r="J56" s="60"/>
      <c r="K56" s="143"/>
    </row>
    <row r="57" spans="1:11" ht="32" x14ac:dyDescent="0.2">
      <c r="A57" s="101"/>
      <c r="B57" s="95" t="s">
        <v>60</v>
      </c>
      <c r="C57" s="96"/>
      <c r="D57" s="97" t="s">
        <v>61</v>
      </c>
      <c r="E57" s="98" t="s">
        <v>13</v>
      </c>
      <c r="F57" s="99">
        <f t="shared" si="1"/>
        <v>56</v>
      </c>
      <c r="G57" s="100" t="s">
        <v>762</v>
      </c>
      <c r="H57" s="98"/>
      <c r="I57" s="133"/>
      <c r="J57" s="98"/>
      <c r="K57" s="143"/>
    </row>
    <row r="58" spans="1:11" ht="32" x14ac:dyDescent="0.2">
      <c r="A58" s="91"/>
      <c r="B58" s="70"/>
      <c r="C58" s="43"/>
      <c r="D58" s="44" t="s">
        <v>62</v>
      </c>
      <c r="E58" s="45" t="s">
        <v>13</v>
      </c>
      <c r="F58" s="46">
        <f t="shared" si="1"/>
        <v>57</v>
      </c>
      <c r="G58" s="42" t="s">
        <v>763</v>
      </c>
      <c r="H58" s="45"/>
      <c r="I58" s="135"/>
      <c r="J58" s="45"/>
      <c r="K58" s="143"/>
    </row>
    <row r="59" spans="1:11" ht="18" thickBot="1" x14ac:dyDescent="0.25">
      <c r="A59" s="88"/>
      <c r="B59" s="92"/>
      <c r="C59" s="58"/>
      <c r="D59" s="59" t="s">
        <v>63</v>
      </c>
      <c r="E59" s="60" t="s">
        <v>13</v>
      </c>
      <c r="F59" s="61">
        <f t="shared" si="1"/>
        <v>58</v>
      </c>
      <c r="G59" s="57" t="s">
        <v>764</v>
      </c>
      <c r="H59" s="60"/>
      <c r="I59" s="137"/>
      <c r="J59" s="60"/>
      <c r="K59" s="146" t="str">
        <f>HYPERLINK("#'sec4_wbc'!A1","Open →")</f>
        <v>Open →</v>
      </c>
    </row>
    <row r="60" spans="1:11" ht="18" x14ac:dyDescent="0.2">
      <c r="A60" s="111" t="s">
        <v>64</v>
      </c>
      <c r="B60" s="69" t="s">
        <v>608</v>
      </c>
      <c r="C60" s="53" t="s">
        <v>19</v>
      </c>
      <c r="D60" s="54" t="s">
        <v>66</v>
      </c>
      <c r="E60" s="55"/>
      <c r="F60" s="56">
        <f t="shared" si="1"/>
        <v>59</v>
      </c>
      <c r="G60" s="52" t="s">
        <v>67</v>
      </c>
      <c r="H60" s="55"/>
      <c r="I60" s="140"/>
      <c r="J60" s="55"/>
      <c r="K60" s="146" t="str">
        <f>HYPERLINK("#'sec5_ssrhat'!A1","Open →")</f>
        <v>Open →</v>
      </c>
    </row>
    <row r="61" spans="1:11" ht="32" x14ac:dyDescent="0.2">
      <c r="A61" s="119"/>
      <c r="B61" s="120" t="s">
        <v>65</v>
      </c>
      <c r="C61" s="121"/>
      <c r="D61" s="122" t="s">
        <v>302</v>
      </c>
      <c r="E61" s="123" t="s">
        <v>13</v>
      </c>
      <c r="F61" s="124">
        <f t="shared" si="1"/>
        <v>60</v>
      </c>
      <c r="G61" s="125" t="s">
        <v>301</v>
      </c>
      <c r="H61" s="123"/>
      <c r="I61" s="141"/>
      <c r="J61" s="123"/>
      <c r="K61" s="143"/>
    </row>
    <row r="62" spans="1:11" ht="17" x14ac:dyDescent="0.2">
      <c r="A62" s="119"/>
      <c r="B62" s="120" t="s">
        <v>68</v>
      </c>
      <c r="C62" s="121" t="s">
        <v>28</v>
      </c>
      <c r="D62" s="122" t="s">
        <v>69</v>
      </c>
      <c r="E62" s="123" t="s">
        <v>13</v>
      </c>
      <c r="F62" s="124">
        <f t="shared" si="1"/>
        <v>61</v>
      </c>
      <c r="G62" s="125" t="s">
        <v>70</v>
      </c>
      <c r="H62" s="123"/>
      <c r="I62" s="141"/>
      <c r="J62" s="123"/>
      <c r="K62" s="143"/>
    </row>
    <row r="63" spans="1:11" ht="32" x14ac:dyDescent="0.2">
      <c r="A63" s="112"/>
      <c r="B63" s="113" t="s">
        <v>71</v>
      </c>
      <c r="C63" s="114"/>
      <c r="D63" s="115" t="s">
        <v>327</v>
      </c>
      <c r="E63" s="116"/>
      <c r="F63" s="117">
        <f t="shared" si="1"/>
        <v>62</v>
      </c>
      <c r="G63" s="118" t="s">
        <v>673</v>
      </c>
      <c r="H63" s="116"/>
      <c r="I63" s="142"/>
      <c r="J63" s="116"/>
      <c r="K63" s="143"/>
    </row>
    <row r="64" spans="1:11" ht="17" x14ac:dyDescent="0.2">
      <c r="A64" s="171"/>
      <c r="B64" s="172"/>
      <c r="C64" s="173"/>
      <c r="D64" s="174" t="s">
        <v>379</v>
      </c>
      <c r="E64" s="175"/>
      <c r="F64" s="176">
        <f t="shared" si="1"/>
        <v>63</v>
      </c>
      <c r="G64" s="177" t="s">
        <v>72</v>
      </c>
      <c r="H64" s="175" t="s">
        <v>11</v>
      </c>
      <c r="I64" s="178"/>
      <c r="J64" s="175"/>
      <c r="K64" s="179"/>
    </row>
    <row r="65" spans="1:11" ht="17" x14ac:dyDescent="0.2">
      <c r="A65" s="180"/>
      <c r="B65" s="181"/>
      <c r="C65" s="182"/>
      <c r="D65" s="183" t="s">
        <v>380</v>
      </c>
      <c r="E65" s="184"/>
      <c r="F65" s="185">
        <f t="shared" si="1"/>
        <v>64</v>
      </c>
      <c r="G65" s="186" t="s">
        <v>361</v>
      </c>
      <c r="H65" s="184" t="s">
        <v>11</v>
      </c>
      <c r="I65" s="187"/>
      <c r="J65" s="184"/>
      <c r="K65" s="179"/>
    </row>
    <row r="66" spans="1:11" x14ac:dyDescent="0.2">
      <c r="A66" s="188"/>
      <c r="B66" s="186"/>
      <c r="C66" s="182"/>
      <c r="D66" s="183" t="s">
        <v>425</v>
      </c>
      <c r="E66" s="184"/>
      <c r="F66" s="185">
        <f t="shared" si="1"/>
        <v>65</v>
      </c>
      <c r="G66" s="186" t="s">
        <v>426</v>
      </c>
      <c r="H66" s="184" t="s">
        <v>11</v>
      </c>
      <c r="I66" s="187"/>
      <c r="J66" s="184"/>
      <c r="K66" s="179"/>
    </row>
    <row r="67" spans="1:11" x14ac:dyDescent="0.2">
      <c r="A67" s="188"/>
      <c r="B67" s="186"/>
      <c r="C67" s="182"/>
      <c r="D67" s="183" t="s">
        <v>392</v>
      </c>
      <c r="E67" s="184"/>
      <c r="F67" s="185">
        <f>ROW() - 1</f>
        <v>66</v>
      </c>
      <c r="G67" s="186" t="s">
        <v>393</v>
      </c>
      <c r="H67" s="184" t="s">
        <v>11</v>
      </c>
      <c r="I67" s="187"/>
      <c r="J67" s="184"/>
      <c r="K67" s="179"/>
    </row>
    <row r="68" spans="1:11" ht="32" x14ac:dyDescent="0.2">
      <c r="A68" s="77"/>
      <c r="B68" s="26"/>
      <c r="C68" s="17"/>
      <c r="D68" s="18" t="s">
        <v>328</v>
      </c>
      <c r="E68" s="19"/>
      <c r="F68" s="20">
        <f t="shared" si="1"/>
        <v>67</v>
      </c>
      <c r="G68" s="16" t="s">
        <v>674</v>
      </c>
      <c r="H68" s="19"/>
      <c r="I68" s="129"/>
      <c r="J68" s="19"/>
      <c r="K68" s="143"/>
    </row>
    <row r="69" spans="1:11" ht="17" x14ac:dyDescent="0.2">
      <c r="A69" s="180"/>
      <c r="B69" s="181"/>
      <c r="C69" s="182"/>
      <c r="D69" s="183" t="s">
        <v>381</v>
      </c>
      <c r="E69" s="184"/>
      <c r="F69" s="185">
        <f t="shared" si="1"/>
        <v>68</v>
      </c>
      <c r="G69" s="186" t="s">
        <v>73</v>
      </c>
      <c r="H69" s="184" t="s">
        <v>11</v>
      </c>
      <c r="I69" s="187"/>
      <c r="J69" s="184"/>
      <c r="K69" s="179"/>
    </row>
    <row r="70" spans="1:11" ht="17" x14ac:dyDescent="0.2">
      <c r="A70" s="180"/>
      <c r="B70" s="181"/>
      <c r="C70" s="182"/>
      <c r="D70" s="183" t="s">
        <v>382</v>
      </c>
      <c r="E70" s="184"/>
      <c r="F70" s="185">
        <f t="shared" si="1"/>
        <v>69</v>
      </c>
      <c r="G70" s="186" t="s">
        <v>362</v>
      </c>
      <c r="H70" s="184" t="s">
        <v>11</v>
      </c>
      <c r="I70" s="187"/>
      <c r="J70" s="184"/>
      <c r="K70" s="179"/>
    </row>
    <row r="71" spans="1:11" x14ac:dyDescent="0.2">
      <c r="A71" s="188"/>
      <c r="B71" s="186"/>
      <c r="C71" s="182"/>
      <c r="D71" s="183" t="s">
        <v>427</v>
      </c>
      <c r="E71" s="184"/>
      <c r="F71" s="185">
        <f t="shared" si="1"/>
        <v>70</v>
      </c>
      <c r="G71" s="186" t="s">
        <v>398</v>
      </c>
      <c r="H71" s="184" t="s">
        <v>11</v>
      </c>
      <c r="I71" s="187"/>
      <c r="J71" s="184"/>
      <c r="K71" s="179"/>
    </row>
    <row r="72" spans="1:11" ht="32" x14ac:dyDescent="0.2">
      <c r="A72" s="188"/>
      <c r="B72" s="186"/>
      <c r="C72" s="182"/>
      <c r="D72" s="183" t="s">
        <v>394</v>
      </c>
      <c r="E72" s="184"/>
      <c r="F72" s="185">
        <f>ROW() - 1</f>
        <v>71</v>
      </c>
      <c r="G72" s="186" t="s">
        <v>395</v>
      </c>
      <c r="H72" s="184" t="s">
        <v>11</v>
      </c>
      <c r="I72" s="187"/>
      <c r="J72" s="184"/>
      <c r="K72" s="179"/>
    </row>
    <row r="73" spans="1:11" ht="32" x14ac:dyDescent="0.2">
      <c r="A73" s="77"/>
      <c r="B73" s="26"/>
      <c r="C73" s="17"/>
      <c r="D73" s="18" t="s">
        <v>74</v>
      </c>
      <c r="E73" s="19"/>
      <c r="F73" s="20">
        <f t="shared" si="1"/>
        <v>72</v>
      </c>
      <c r="G73" s="16" t="s">
        <v>675</v>
      </c>
      <c r="H73" s="19"/>
      <c r="I73" s="129"/>
      <c r="J73" s="19"/>
      <c r="K73" s="143"/>
    </row>
    <row r="74" spans="1:11" ht="17" x14ac:dyDescent="0.2">
      <c r="A74" s="180"/>
      <c r="B74" s="181"/>
      <c r="C74" s="182"/>
      <c r="D74" s="183" t="s">
        <v>345</v>
      </c>
      <c r="E74" s="184"/>
      <c r="F74" s="185">
        <f t="shared" si="1"/>
        <v>73</v>
      </c>
      <c r="G74" s="186" t="s">
        <v>75</v>
      </c>
      <c r="H74" s="184" t="s">
        <v>11</v>
      </c>
      <c r="I74" s="187"/>
      <c r="J74" s="184"/>
      <c r="K74" s="179"/>
    </row>
    <row r="75" spans="1:11" ht="17" x14ac:dyDescent="0.2">
      <c r="A75" s="180"/>
      <c r="B75" s="181"/>
      <c r="C75" s="182"/>
      <c r="D75" s="183" t="s">
        <v>329</v>
      </c>
      <c r="E75" s="184"/>
      <c r="F75" s="185">
        <f t="shared" si="1"/>
        <v>74</v>
      </c>
      <c r="G75" s="186" t="s">
        <v>363</v>
      </c>
      <c r="H75" s="184" t="s">
        <v>11</v>
      </c>
      <c r="I75" s="187"/>
      <c r="J75" s="184"/>
      <c r="K75" s="179"/>
    </row>
    <row r="76" spans="1:11" x14ac:dyDescent="0.2">
      <c r="A76" s="188"/>
      <c r="B76" s="186"/>
      <c r="C76" s="182"/>
      <c r="D76" s="183" t="s">
        <v>411</v>
      </c>
      <c r="E76" s="184"/>
      <c r="F76" s="185">
        <f t="shared" si="1"/>
        <v>75</v>
      </c>
      <c r="G76" s="186" t="s">
        <v>435</v>
      </c>
      <c r="H76" s="184" t="s">
        <v>11</v>
      </c>
      <c r="I76" s="187"/>
      <c r="J76" s="184"/>
      <c r="K76" s="179"/>
    </row>
    <row r="77" spans="1:11" x14ac:dyDescent="0.2">
      <c r="A77" s="188"/>
      <c r="B77" s="186"/>
      <c r="C77" s="182"/>
      <c r="D77" s="183" t="s">
        <v>396</v>
      </c>
      <c r="E77" s="184"/>
      <c r="F77" s="185">
        <f>ROW() - 1</f>
        <v>76</v>
      </c>
      <c r="G77" s="186" t="s">
        <v>397</v>
      </c>
      <c r="H77" s="184" t="s">
        <v>11</v>
      </c>
      <c r="I77" s="187"/>
      <c r="J77" s="184"/>
      <c r="K77" s="179"/>
    </row>
    <row r="78" spans="1:11" ht="32" x14ac:dyDescent="0.2">
      <c r="A78" s="77"/>
      <c r="B78" s="26"/>
      <c r="C78" s="17"/>
      <c r="D78" s="18" t="s">
        <v>76</v>
      </c>
      <c r="E78" s="19"/>
      <c r="F78" s="20">
        <f t="shared" si="1"/>
        <v>77</v>
      </c>
      <c r="G78" s="16" t="s">
        <v>676</v>
      </c>
      <c r="H78" s="19"/>
      <c r="I78" s="129"/>
      <c r="J78" s="19"/>
      <c r="K78" s="143"/>
    </row>
    <row r="79" spans="1:11" ht="17" x14ac:dyDescent="0.2">
      <c r="A79" s="180"/>
      <c r="B79" s="181"/>
      <c r="C79" s="182"/>
      <c r="D79" s="183" t="s">
        <v>346</v>
      </c>
      <c r="E79" s="184"/>
      <c r="F79" s="185">
        <f t="shared" si="1"/>
        <v>78</v>
      </c>
      <c r="G79" s="186" t="s">
        <v>77</v>
      </c>
      <c r="H79" s="184" t="s">
        <v>11</v>
      </c>
      <c r="I79" s="187"/>
      <c r="J79" s="184"/>
      <c r="K79" s="179"/>
    </row>
    <row r="80" spans="1:11" ht="17" x14ac:dyDescent="0.2">
      <c r="A80" s="180"/>
      <c r="B80" s="181"/>
      <c r="C80" s="182"/>
      <c r="D80" s="183" t="s">
        <v>330</v>
      </c>
      <c r="E80" s="184"/>
      <c r="F80" s="185">
        <f t="shared" si="1"/>
        <v>79</v>
      </c>
      <c r="G80" s="186" t="s">
        <v>364</v>
      </c>
      <c r="H80" s="184" t="s">
        <v>11</v>
      </c>
      <c r="I80" s="187"/>
      <c r="J80" s="184"/>
      <c r="K80" s="179"/>
    </row>
    <row r="81" spans="1:11" x14ac:dyDescent="0.2">
      <c r="A81" s="188"/>
      <c r="B81" s="186"/>
      <c r="C81" s="182"/>
      <c r="D81" s="183" t="s">
        <v>412</v>
      </c>
      <c r="E81" s="184"/>
      <c r="F81" s="185">
        <f t="shared" si="1"/>
        <v>80</v>
      </c>
      <c r="G81" s="186" t="s">
        <v>389</v>
      </c>
      <c r="H81" s="184" t="s">
        <v>11</v>
      </c>
      <c r="I81" s="187"/>
      <c r="J81" s="184"/>
      <c r="K81" s="179"/>
    </row>
    <row r="82" spans="1:11" x14ac:dyDescent="0.2">
      <c r="A82" s="188"/>
      <c r="B82" s="186"/>
      <c r="C82" s="182"/>
      <c r="D82" s="183" t="s">
        <v>391</v>
      </c>
      <c r="E82" s="184"/>
      <c r="F82" s="185">
        <f>ROW() - 1</f>
        <v>81</v>
      </c>
      <c r="G82" s="186" t="s">
        <v>428</v>
      </c>
      <c r="H82" s="184" t="s">
        <v>11</v>
      </c>
      <c r="I82" s="187"/>
      <c r="J82" s="184"/>
      <c r="K82" s="179"/>
    </row>
    <row r="83" spans="1:11" ht="32" x14ac:dyDescent="0.2">
      <c r="A83" s="80"/>
      <c r="B83" s="16"/>
      <c r="C83" s="17"/>
      <c r="D83" s="18" t="s">
        <v>538</v>
      </c>
      <c r="E83" s="19"/>
      <c r="F83" s="20">
        <f t="shared" ref="F83:F87" si="2">ROW() - 1</f>
        <v>82</v>
      </c>
      <c r="G83" s="16" t="s">
        <v>677</v>
      </c>
      <c r="H83" s="19"/>
      <c r="I83" s="129"/>
      <c r="J83" s="19"/>
      <c r="K83" s="143"/>
    </row>
    <row r="84" spans="1:11" x14ac:dyDescent="0.2">
      <c r="A84" s="188"/>
      <c r="B84" s="186"/>
      <c r="C84" s="182"/>
      <c r="D84" s="183" t="s">
        <v>539</v>
      </c>
      <c r="E84" s="184"/>
      <c r="F84" s="185">
        <f t="shared" si="2"/>
        <v>83</v>
      </c>
      <c r="G84" s="186" t="s">
        <v>574</v>
      </c>
      <c r="H84" s="184" t="s">
        <v>11</v>
      </c>
      <c r="I84" s="187"/>
      <c r="J84" s="184"/>
      <c r="K84" s="179"/>
    </row>
    <row r="85" spans="1:11" x14ac:dyDescent="0.2">
      <c r="A85" s="188"/>
      <c r="B85" s="186"/>
      <c r="C85" s="182"/>
      <c r="D85" s="183" t="s">
        <v>540</v>
      </c>
      <c r="E85" s="184"/>
      <c r="F85" s="185">
        <f t="shared" si="2"/>
        <v>84</v>
      </c>
      <c r="G85" s="186" t="s">
        <v>575</v>
      </c>
      <c r="H85" s="184" t="s">
        <v>11</v>
      </c>
      <c r="I85" s="187"/>
      <c r="J85" s="184"/>
      <c r="K85" s="179"/>
    </row>
    <row r="86" spans="1:11" x14ac:dyDescent="0.2">
      <c r="A86" s="188"/>
      <c r="B86" s="186"/>
      <c r="C86" s="182"/>
      <c r="D86" s="183" t="s">
        <v>541</v>
      </c>
      <c r="E86" s="184"/>
      <c r="F86" s="185">
        <f t="shared" si="2"/>
        <v>85</v>
      </c>
      <c r="G86" s="186" t="s">
        <v>576</v>
      </c>
      <c r="H86" s="184" t="s">
        <v>11</v>
      </c>
      <c r="I86" s="187"/>
      <c r="J86" s="184"/>
      <c r="K86" s="179"/>
    </row>
    <row r="87" spans="1:11" x14ac:dyDescent="0.2">
      <c r="A87" s="188"/>
      <c r="B87" s="186"/>
      <c r="C87" s="182"/>
      <c r="D87" s="183" t="s">
        <v>542</v>
      </c>
      <c r="E87" s="184"/>
      <c r="F87" s="185">
        <f t="shared" si="2"/>
        <v>86</v>
      </c>
      <c r="G87" s="186" t="s">
        <v>577</v>
      </c>
      <c r="H87" s="184" t="s">
        <v>11</v>
      </c>
      <c r="I87" s="187"/>
      <c r="J87" s="184"/>
      <c r="K87" s="179"/>
    </row>
    <row r="88" spans="1:11" ht="32" x14ac:dyDescent="0.2">
      <c r="A88" s="80"/>
      <c r="B88" s="16"/>
      <c r="C88" s="17"/>
      <c r="D88" s="18" t="s">
        <v>578</v>
      </c>
      <c r="E88" s="19"/>
      <c r="F88" s="20">
        <f t="shared" ref="F88:F89" si="3">ROW() - 1</f>
        <v>87</v>
      </c>
      <c r="G88" s="16" t="s">
        <v>678</v>
      </c>
      <c r="H88" s="19"/>
      <c r="I88" s="129"/>
      <c r="J88" s="19"/>
      <c r="K88" s="143"/>
    </row>
    <row r="89" spans="1:11" x14ac:dyDescent="0.2">
      <c r="A89" s="188"/>
      <c r="B89" s="186"/>
      <c r="C89" s="182"/>
      <c r="D89" s="183" t="s">
        <v>579</v>
      </c>
      <c r="E89" s="184"/>
      <c r="F89" s="185">
        <f t="shared" si="3"/>
        <v>88</v>
      </c>
      <c r="G89" s="186" t="s">
        <v>583</v>
      </c>
      <c r="H89" s="184" t="s">
        <v>11</v>
      </c>
      <c r="I89" s="187"/>
      <c r="J89" s="184"/>
      <c r="K89" s="179"/>
    </row>
    <row r="90" spans="1:11" x14ac:dyDescent="0.2">
      <c r="A90" s="188"/>
      <c r="B90" s="186"/>
      <c r="C90" s="182"/>
      <c r="D90" s="183" t="s">
        <v>580</v>
      </c>
      <c r="E90" s="184"/>
      <c r="F90" s="185">
        <f>ROW() - 1</f>
        <v>89</v>
      </c>
      <c r="G90" s="186" t="s">
        <v>584</v>
      </c>
      <c r="H90" s="184" t="s">
        <v>11</v>
      </c>
      <c r="I90" s="187"/>
      <c r="J90" s="184"/>
      <c r="K90" s="179"/>
    </row>
    <row r="91" spans="1:11" x14ac:dyDescent="0.2">
      <c r="A91" s="188"/>
      <c r="B91" s="186"/>
      <c r="C91" s="182"/>
      <c r="D91" s="183" t="s">
        <v>581</v>
      </c>
      <c r="E91" s="184"/>
      <c r="F91" s="185">
        <f>ROW() - 1</f>
        <v>90</v>
      </c>
      <c r="G91" s="186" t="s">
        <v>585</v>
      </c>
      <c r="H91" s="184" t="s">
        <v>11</v>
      </c>
      <c r="I91" s="187"/>
      <c r="J91" s="184"/>
      <c r="K91" s="179"/>
    </row>
    <row r="92" spans="1:11" x14ac:dyDescent="0.2">
      <c r="A92" s="188"/>
      <c r="B92" s="186"/>
      <c r="C92" s="182"/>
      <c r="D92" s="183" t="s">
        <v>582</v>
      </c>
      <c r="E92" s="184"/>
      <c r="F92" s="185">
        <f>ROW() - 1</f>
        <v>91</v>
      </c>
      <c r="G92" s="186" t="s">
        <v>586</v>
      </c>
      <c r="H92" s="184" t="s">
        <v>11</v>
      </c>
      <c r="I92" s="187"/>
      <c r="J92" s="184"/>
      <c r="K92" s="179"/>
    </row>
    <row r="93" spans="1:11" ht="32" x14ac:dyDescent="0.2">
      <c r="A93" s="80"/>
      <c r="B93" s="16"/>
      <c r="C93" s="17"/>
      <c r="D93" s="18" t="s">
        <v>544</v>
      </c>
      <c r="E93" s="19"/>
      <c r="F93" s="20">
        <f t="shared" ref="F93:F96" si="4">ROW() - 1</f>
        <v>92</v>
      </c>
      <c r="G93" s="16" t="s">
        <v>679</v>
      </c>
      <c r="H93" s="19"/>
      <c r="I93" s="129"/>
      <c r="J93" s="19"/>
      <c r="K93" s="143"/>
    </row>
    <row r="94" spans="1:11" x14ac:dyDescent="0.2">
      <c r="A94" s="188"/>
      <c r="B94" s="186"/>
      <c r="C94" s="182"/>
      <c r="D94" s="183" t="s">
        <v>545</v>
      </c>
      <c r="E94" s="184"/>
      <c r="F94" s="185">
        <f t="shared" si="4"/>
        <v>93</v>
      </c>
      <c r="G94" s="186" t="s">
        <v>570</v>
      </c>
      <c r="H94" s="184" t="s">
        <v>11</v>
      </c>
      <c r="I94" s="187"/>
      <c r="J94" s="184"/>
      <c r="K94" s="179"/>
    </row>
    <row r="95" spans="1:11" x14ac:dyDescent="0.2">
      <c r="A95" s="188"/>
      <c r="B95" s="186"/>
      <c r="C95" s="182"/>
      <c r="D95" s="183" t="s">
        <v>546</v>
      </c>
      <c r="E95" s="184"/>
      <c r="F95" s="185">
        <f t="shared" si="4"/>
        <v>94</v>
      </c>
      <c r="G95" s="186" t="s">
        <v>571</v>
      </c>
      <c r="H95" s="184" t="s">
        <v>11</v>
      </c>
      <c r="I95" s="187"/>
      <c r="J95" s="184"/>
      <c r="K95" s="179"/>
    </row>
    <row r="96" spans="1:11" x14ac:dyDescent="0.2">
      <c r="A96" s="188"/>
      <c r="B96" s="186"/>
      <c r="C96" s="182"/>
      <c r="D96" s="183" t="s">
        <v>547</v>
      </c>
      <c r="E96" s="184"/>
      <c r="F96" s="185">
        <f t="shared" si="4"/>
        <v>95</v>
      </c>
      <c r="G96" s="186" t="s">
        <v>572</v>
      </c>
      <c r="H96" s="184" t="s">
        <v>11</v>
      </c>
      <c r="I96" s="187"/>
      <c r="J96" s="184"/>
      <c r="K96" s="179"/>
    </row>
    <row r="97" spans="1:11" x14ac:dyDescent="0.2">
      <c r="A97" s="188"/>
      <c r="B97" s="186"/>
      <c r="C97" s="182"/>
      <c r="D97" s="183" t="s">
        <v>543</v>
      </c>
      <c r="E97" s="184"/>
      <c r="F97" s="185">
        <f>ROW() - 1</f>
        <v>96</v>
      </c>
      <c r="G97" s="186" t="s">
        <v>573</v>
      </c>
      <c r="H97" s="184" t="s">
        <v>11</v>
      </c>
      <c r="I97" s="187"/>
      <c r="J97" s="184"/>
      <c r="K97" s="179"/>
    </row>
    <row r="98" spans="1:11" ht="32" x14ac:dyDescent="0.2">
      <c r="A98" s="80"/>
      <c r="B98" s="16"/>
      <c r="C98" s="17"/>
      <c r="D98" s="18" t="s">
        <v>548</v>
      </c>
      <c r="E98" s="19"/>
      <c r="F98" s="20">
        <f t="shared" ref="F98:F107" si="5">ROW() - 1</f>
        <v>97</v>
      </c>
      <c r="G98" s="16" t="s">
        <v>680</v>
      </c>
      <c r="H98" s="19"/>
      <c r="I98" s="129"/>
      <c r="J98" s="19"/>
      <c r="K98" s="143"/>
    </row>
    <row r="99" spans="1:11" x14ac:dyDescent="0.2">
      <c r="A99" s="188"/>
      <c r="B99" s="186"/>
      <c r="C99" s="182"/>
      <c r="D99" s="183" t="s">
        <v>549</v>
      </c>
      <c r="E99" s="184"/>
      <c r="F99" s="185">
        <f t="shared" si="5"/>
        <v>98</v>
      </c>
      <c r="G99" s="186" t="s">
        <v>566</v>
      </c>
      <c r="H99" s="184" t="s">
        <v>11</v>
      </c>
      <c r="I99" s="187"/>
      <c r="J99" s="184"/>
      <c r="K99" s="179"/>
    </row>
    <row r="100" spans="1:11" x14ac:dyDescent="0.2">
      <c r="A100" s="188"/>
      <c r="B100" s="186"/>
      <c r="C100" s="182"/>
      <c r="D100" s="183" t="s">
        <v>550</v>
      </c>
      <c r="E100" s="184"/>
      <c r="F100" s="185">
        <f t="shared" si="5"/>
        <v>99</v>
      </c>
      <c r="G100" s="186" t="s">
        <v>567</v>
      </c>
      <c r="H100" s="184" t="s">
        <v>11</v>
      </c>
      <c r="I100" s="187"/>
      <c r="J100" s="184"/>
      <c r="K100" s="179"/>
    </row>
    <row r="101" spans="1:11" x14ac:dyDescent="0.2">
      <c r="A101" s="188"/>
      <c r="B101" s="186"/>
      <c r="C101" s="182"/>
      <c r="D101" s="183" t="s">
        <v>551</v>
      </c>
      <c r="E101" s="184"/>
      <c r="F101" s="185">
        <f t="shared" si="5"/>
        <v>100</v>
      </c>
      <c r="G101" s="186" t="s">
        <v>568</v>
      </c>
      <c r="H101" s="184" t="s">
        <v>11</v>
      </c>
      <c r="I101" s="187"/>
      <c r="J101" s="184"/>
      <c r="K101" s="179"/>
    </row>
    <row r="102" spans="1:11" x14ac:dyDescent="0.2">
      <c r="A102" s="188"/>
      <c r="B102" s="186"/>
      <c r="C102" s="182"/>
      <c r="D102" s="183" t="s">
        <v>552</v>
      </c>
      <c r="E102" s="184"/>
      <c r="F102" s="185">
        <f t="shared" si="5"/>
        <v>101</v>
      </c>
      <c r="G102" s="186" t="s">
        <v>569</v>
      </c>
      <c r="H102" s="184" t="s">
        <v>11</v>
      </c>
      <c r="I102" s="187"/>
      <c r="J102" s="184"/>
      <c r="K102" s="179"/>
    </row>
    <row r="103" spans="1:11" ht="32" x14ac:dyDescent="0.2">
      <c r="A103" s="80"/>
      <c r="B103" s="16"/>
      <c r="C103" s="17"/>
      <c r="D103" s="18" t="s">
        <v>553</v>
      </c>
      <c r="E103" s="19"/>
      <c r="F103" s="20">
        <f t="shared" si="5"/>
        <v>102</v>
      </c>
      <c r="G103" s="16" t="s">
        <v>681</v>
      </c>
      <c r="H103" s="19"/>
      <c r="I103" s="129"/>
      <c r="J103" s="19"/>
      <c r="K103" s="143"/>
    </row>
    <row r="104" spans="1:11" x14ac:dyDescent="0.2">
      <c r="A104" s="188"/>
      <c r="B104" s="186"/>
      <c r="C104" s="182"/>
      <c r="D104" s="183" t="s">
        <v>554</v>
      </c>
      <c r="E104" s="184"/>
      <c r="F104" s="185">
        <f t="shared" si="5"/>
        <v>103</v>
      </c>
      <c r="G104" s="186" t="s">
        <v>562</v>
      </c>
      <c r="H104" s="184" t="s">
        <v>11</v>
      </c>
      <c r="I104" s="187"/>
      <c r="J104" s="184"/>
      <c r="K104" s="179"/>
    </row>
    <row r="105" spans="1:11" x14ac:dyDescent="0.2">
      <c r="A105" s="188"/>
      <c r="B105" s="186"/>
      <c r="C105" s="182"/>
      <c r="D105" s="183" t="s">
        <v>555</v>
      </c>
      <c r="E105" s="184"/>
      <c r="F105" s="185">
        <f t="shared" si="5"/>
        <v>104</v>
      </c>
      <c r="G105" s="186" t="s">
        <v>563</v>
      </c>
      <c r="H105" s="184" t="s">
        <v>11</v>
      </c>
      <c r="I105" s="187"/>
      <c r="J105" s="184"/>
      <c r="K105" s="179"/>
    </row>
    <row r="106" spans="1:11" x14ac:dyDescent="0.2">
      <c r="A106" s="188"/>
      <c r="B106" s="186"/>
      <c r="C106" s="182"/>
      <c r="D106" s="183" t="s">
        <v>556</v>
      </c>
      <c r="E106" s="184"/>
      <c r="F106" s="185">
        <f t="shared" si="5"/>
        <v>105</v>
      </c>
      <c r="G106" s="186" t="s">
        <v>564</v>
      </c>
      <c r="H106" s="184" t="s">
        <v>11</v>
      </c>
      <c r="I106" s="187"/>
      <c r="J106" s="184"/>
      <c r="K106" s="179"/>
    </row>
    <row r="107" spans="1:11" x14ac:dyDescent="0.2">
      <c r="A107" s="188"/>
      <c r="B107" s="186"/>
      <c r="C107" s="182"/>
      <c r="D107" s="183" t="s">
        <v>557</v>
      </c>
      <c r="E107" s="184"/>
      <c r="F107" s="185">
        <f t="shared" si="5"/>
        <v>106</v>
      </c>
      <c r="G107" s="186" t="s">
        <v>565</v>
      </c>
      <c r="H107" s="184" t="s">
        <v>11</v>
      </c>
      <c r="I107" s="187"/>
      <c r="J107" s="184"/>
      <c r="K107" s="179"/>
    </row>
    <row r="108" spans="1:11" ht="32" x14ac:dyDescent="0.2">
      <c r="A108" s="77"/>
      <c r="B108" s="26"/>
      <c r="C108" s="17"/>
      <c r="D108" s="18" t="s">
        <v>78</v>
      </c>
      <c r="E108" s="19"/>
      <c r="F108" s="20">
        <f t="shared" si="1"/>
        <v>107</v>
      </c>
      <c r="G108" s="16" t="s">
        <v>682</v>
      </c>
      <c r="H108" s="19"/>
      <c r="I108" s="129"/>
      <c r="J108" s="19"/>
      <c r="K108" s="143"/>
    </row>
    <row r="109" spans="1:11" ht="17" x14ac:dyDescent="0.2">
      <c r="A109" s="180"/>
      <c r="B109" s="181"/>
      <c r="C109" s="182"/>
      <c r="D109" s="183" t="s">
        <v>347</v>
      </c>
      <c r="E109" s="184"/>
      <c r="F109" s="185">
        <f t="shared" si="1"/>
        <v>108</v>
      </c>
      <c r="G109" s="186" t="s">
        <v>79</v>
      </c>
      <c r="H109" s="184" t="s">
        <v>11</v>
      </c>
      <c r="I109" s="187"/>
      <c r="J109" s="184"/>
      <c r="K109" s="179"/>
    </row>
    <row r="110" spans="1:11" ht="17" x14ac:dyDescent="0.2">
      <c r="A110" s="180"/>
      <c r="B110" s="181"/>
      <c r="C110" s="182"/>
      <c r="D110" s="183" t="s">
        <v>331</v>
      </c>
      <c r="E110" s="184"/>
      <c r="F110" s="185">
        <f t="shared" si="1"/>
        <v>109</v>
      </c>
      <c r="G110" s="186" t="s">
        <v>365</v>
      </c>
      <c r="H110" s="184" t="s">
        <v>11</v>
      </c>
      <c r="I110" s="187"/>
      <c r="J110" s="184"/>
      <c r="K110" s="179"/>
    </row>
    <row r="111" spans="1:11" x14ac:dyDescent="0.2">
      <c r="A111" s="188"/>
      <c r="B111" s="186"/>
      <c r="C111" s="182"/>
      <c r="D111" s="183" t="s">
        <v>413</v>
      </c>
      <c r="E111" s="184"/>
      <c r="F111" s="185">
        <f t="shared" si="1"/>
        <v>110</v>
      </c>
      <c r="G111" s="186" t="s">
        <v>390</v>
      </c>
      <c r="H111" s="184" t="s">
        <v>11</v>
      </c>
      <c r="I111" s="187"/>
      <c r="J111" s="184"/>
      <c r="K111" s="179"/>
    </row>
    <row r="112" spans="1:11" x14ac:dyDescent="0.2">
      <c r="A112" s="188"/>
      <c r="B112" s="186"/>
      <c r="C112" s="182"/>
      <c r="D112" s="183" t="s">
        <v>429</v>
      </c>
      <c r="E112" s="184"/>
      <c r="F112" s="185">
        <f>ROW() - 1</f>
        <v>111</v>
      </c>
      <c r="G112" s="186" t="s">
        <v>430</v>
      </c>
      <c r="H112" s="184" t="s">
        <v>11</v>
      </c>
      <c r="I112" s="187"/>
      <c r="J112" s="184"/>
      <c r="K112" s="179"/>
    </row>
    <row r="113" spans="1:11" ht="32" x14ac:dyDescent="0.2">
      <c r="A113" s="77"/>
      <c r="B113" s="26"/>
      <c r="C113" s="17"/>
      <c r="D113" s="18" t="s">
        <v>80</v>
      </c>
      <c r="E113" s="19"/>
      <c r="F113" s="20">
        <f t="shared" si="1"/>
        <v>112</v>
      </c>
      <c r="G113" s="16" t="s">
        <v>683</v>
      </c>
      <c r="H113" s="19"/>
      <c r="I113" s="129"/>
      <c r="J113" s="19"/>
      <c r="K113" s="143"/>
    </row>
    <row r="114" spans="1:11" ht="17" x14ac:dyDescent="0.2">
      <c r="A114" s="180"/>
      <c r="B114" s="181"/>
      <c r="C114" s="182"/>
      <c r="D114" s="183" t="s">
        <v>348</v>
      </c>
      <c r="E114" s="184"/>
      <c r="F114" s="185">
        <f t="shared" si="1"/>
        <v>113</v>
      </c>
      <c r="G114" s="186" t="s">
        <v>81</v>
      </c>
      <c r="H114" s="184" t="s">
        <v>11</v>
      </c>
      <c r="I114" s="187"/>
      <c r="J114" s="184"/>
      <c r="K114" s="179"/>
    </row>
    <row r="115" spans="1:11" ht="17" x14ac:dyDescent="0.2">
      <c r="A115" s="180"/>
      <c r="B115" s="181"/>
      <c r="C115" s="182"/>
      <c r="D115" s="183" t="s">
        <v>332</v>
      </c>
      <c r="E115" s="184"/>
      <c r="F115" s="185">
        <f t="shared" si="1"/>
        <v>114</v>
      </c>
      <c r="G115" s="186" t="s">
        <v>366</v>
      </c>
      <c r="H115" s="184" t="s">
        <v>11</v>
      </c>
      <c r="I115" s="187"/>
      <c r="J115" s="184"/>
      <c r="K115" s="179"/>
    </row>
    <row r="116" spans="1:11" x14ac:dyDescent="0.2">
      <c r="A116" s="188"/>
      <c r="B116" s="186"/>
      <c r="C116" s="182"/>
      <c r="D116" s="183" t="s">
        <v>414</v>
      </c>
      <c r="E116" s="184"/>
      <c r="F116" s="185">
        <f>ROW() - 1</f>
        <v>115</v>
      </c>
      <c r="G116" s="186" t="s">
        <v>399</v>
      </c>
      <c r="H116" s="184" t="s">
        <v>11</v>
      </c>
      <c r="I116" s="187"/>
      <c r="J116" s="184"/>
      <c r="K116" s="179"/>
    </row>
    <row r="117" spans="1:11" x14ac:dyDescent="0.2">
      <c r="A117" s="188"/>
      <c r="B117" s="186"/>
      <c r="C117" s="182"/>
      <c r="D117" s="183" t="s">
        <v>431</v>
      </c>
      <c r="E117" s="184"/>
      <c r="F117" s="185">
        <f>ROW() - 1</f>
        <v>116</v>
      </c>
      <c r="G117" s="186" t="s">
        <v>432</v>
      </c>
      <c r="H117" s="184" t="s">
        <v>11</v>
      </c>
      <c r="I117" s="187"/>
      <c r="J117" s="184"/>
      <c r="K117" s="179"/>
    </row>
    <row r="118" spans="1:11" ht="32" x14ac:dyDescent="0.2">
      <c r="A118" s="77"/>
      <c r="B118" s="26"/>
      <c r="C118" s="17"/>
      <c r="D118" s="18" t="s">
        <v>82</v>
      </c>
      <c r="E118" s="19"/>
      <c r="F118" s="20">
        <f t="shared" si="1"/>
        <v>117</v>
      </c>
      <c r="G118" s="16" t="s">
        <v>684</v>
      </c>
      <c r="H118" s="19"/>
      <c r="I118" s="129"/>
      <c r="J118" s="19"/>
      <c r="K118" s="143"/>
    </row>
    <row r="119" spans="1:11" ht="17" x14ac:dyDescent="0.2">
      <c r="A119" s="180"/>
      <c r="B119" s="181"/>
      <c r="C119" s="182"/>
      <c r="D119" s="183" t="s">
        <v>349</v>
      </c>
      <c r="E119" s="184"/>
      <c r="F119" s="185">
        <f t="shared" si="1"/>
        <v>118</v>
      </c>
      <c r="G119" s="186" t="s">
        <v>83</v>
      </c>
      <c r="H119" s="184" t="s">
        <v>11</v>
      </c>
      <c r="I119" s="187"/>
      <c r="J119" s="184"/>
      <c r="K119" s="179"/>
    </row>
    <row r="120" spans="1:11" ht="17" x14ac:dyDescent="0.2">
      <c r="A120" s="180"/>
      <c r="B120" s="181"/>
      <c r="C120" s="182"/>
      <c r="D120" s="183" t="s">
        <v>333</v>
      </c>
      <c r="E120" s="184"/>
      <c r="F120" s="185">
        <f t="shared" si="1"/>
        <v>119</v>
      </c>
      <c r="G120" s="186" t="s">
        <v>367</v>
      </c>
      <c r="H120" s="184" t="s">
        <v>11</v>
      </c>
      <c r="I120" s="187"/>
      <c r="J120" s="184"/>
      <c r="K120" s="179"/>
    </row>
    <row r="121" spans="1:11" x14ac:dyDescent="0.2">
      <c r="A121" s="188"/>
      <c r="B121" s="186"/>
      <c r="C121" s="182"/>
      <c r="D121" s="183" t="s">
        <v>415</v>
      </c>
      <c r="E121" s="184"/>
      <c r="F121" s="185">
        <f>ROW() - 1</f>
        <v>120</v>
      </c>
      <c r="G121" s="186" t="s">
        <v>400</v>
      </c>
      <c r="H121" s="184" t="s">
        <v>11</v>
      </c>
      <c r="I121" s="187"/>
      <c r="J121" s="184"/>
      <c r="K121" s="179"/>
    </row>
    <row r="122" spans="1:11" x14ac:dyDescent="0.2">
      <c r="A122" s="188"/>
      <c r="B122" s="186"/>
      <c r="C122" s="182"/>
      <c r="D122" s="183" t="s">
        <v>433</v>
      </c>
      <c r="E122" s="184"/>
      <c r="F122" s="185">
        <f>ROW() - 1</f>
        <v>121</v>
      </c>
      <c r="G122" s="186" t="s">
        <v>434</v>
      </c>
      <c r="H122" s="184" t="s">
        <v>11</v>
      </c>
      <c r="I122" s="187"/>
      <c r="J122" s="184"/>
      <c r="K122" s="179"/>
    </row>
    <row r="123" spans="1:11" ht="32" x14ac:dyDescent="0.2">
      <c r="A123" s="77"/>
      <c r="B123" s="26"/>
      <c r="C123" s="17"/>
      <c r="D123" s="18" t="s">
        <v>84</v>
      </c>
      <c r="E123" s="19"/>
      <c r="F123" s="20">
        <f t="shared" si="1"/>
        <v>122</v>
      </c>
      <c r="G123" s="16" t="s">
        <v>685</v>
      </c>
      <c r="H123" s="19"/>
      <c r="I123" s="129"/>
      <c r="J123" s="19"/>
      <c r="K123" s="143"/>
    </row>
    <row r="124" spans="1:11" ht="17" x14ac:dyDescent="0.2">
      <c r="A124" s="180"/>
      <c r="B124" s="181"/>
      <c r="C124" s="182"/>
      <c r="D124" s="183" t="s">
        <v>350</v>
      </c>
      <c r="E124" s="184"/>
      <c r="F124" s="185">
        <f t="shared" ref="F124:F203" si="6">ROW() - 1</f>
        <v>123</v>
      </c>
      <c r="G124" s="186" t="s">
        <v>85</v>
      </c>
      <c r="H124" s="184" t="s">
        <v>11</v>
      </c>
      <c r="I124" s="187"/>
      <c r="J124" s="184"/>
      <c r="K124" s="179"/>
    </row>
    <row r="125" spans="1:11" ht="17" x14ac:dyDescent="0.2">
      <c r="A125" s="180"/>
      <c r="B125" s="181"/>
      <c r="C125" s="182"/>
      <c r="D125" s="183" t="s">
        <v>334</v>
      </c>
      <c r="E125" s="184"/>
      <c r="F125" s="185">
        <f t="shared" si="6"/>
        <v>124</v>
      </c>
      <c r="G125" s="186" t="s">
        <v>368</v>
      </c>
      <c r="H125" s="184" t="s">
        <v>11</v>
      </c>
      <c r="I125" s="187"/>
      <c r="J125" s="184"/>
      <c r="K125" s="179"/>
    </row>
    <row r="126" spans="1:11" x14ac:dyDescent="0.2">
      <c r="A126" s="188"/>
      <c r="B126" s="186"/>
      <c r="C126" s="182"/>
      <c r="D126" s="183" t="s">
        <v>416</v>
      </c>
      <c r="E126" s="184"/>
      <c r="F126" s="185">
        <f>ROW() - 1</f>
        <v>125</v>
      </c>
      <c r="G126" s="186" t="s">
        <v>401</v>
      </c>
      <c r="H126" s="184" t="s">
        <v>11</v>
      </c>
      <c r="I126" s="187"/>
      <c r="J126" s="184"/>
      <c r="K126" s="179"/>
    </row>
    <row r="127" spans="1:11" x14ac:dyDescent="0.2">
      <c r="A127" s="188"/>
      <c r="B127" s="186"/>
      <c r="C127" s="182"/>
      <c r="D127" s="183" t="s">
        <v>436</v>
      </c>
      <c r="E127" s="184"/>
      <c r="F127" s="185">
        <f>ROW() - 1</f>
        <v>126</v>
      </c>
      <c r="G127" s="186" t="s">
        <v>437</v>
      </c>
      <c r="H127" s="184" t="s">
        <v>11</v>
      </c>
      <c r="I127" s="187"/>
      <c r="J127" s="184"/>
      <c r="K127" s="179"/>
    </row>
    <row r="128" spans="1:11" ht="32" x14ac:dyDescent="0.2">
      <c r="A128" s="77"/>
      <c r="B128" s="26"/>
      <c r="C128" s="17"/>
      <c r="D128" s="18" t="s">
        <v>86</v>
      </c>
      <c r="E128" s="19"/>
      <c r="F128" s="20">
        <f t="shared" si="6"/>
        <v>127</v>
      </c>
      <c r="G128" s="16" t="s">
        <v>686</v>
      </c>
      <c r="H128" s="19"/>
      <c r="I128" s="129"/>
      <c r="J128" s="19"/>
      <c r="K128" s="143"/>
    </row>
    <row r="129" spans="1:11" ht="17" x14ac:dyDescent="0.2">
      <c r="A129" s="180"/>
      <c r="B129" s="181"/>
      <c r="C129" s="182"/>
      <c r="D129" s="183" t="s">
        <v>351</v>
      </c>
      <c r="E129" s="184"/>
      <c r="F129" s="185">
        <f t="shared" si="6"/>
        <v>128</v>
      </c>
      <c r="G129" s="186" t="s">
        <v>87</v>
      </c>
      <c r="H129" s="184" t="s">
        <v>11</v>
      </c>
      <c r="I129" s="187"/>
      <c r="J129" s="184"/>
      <c r="K129" s="179"/>
    </row>
    <row r="130" spans="1:11" ht="17" x14ac:dyDescent="0.2">
      <c r="A130" s="180"/>
      <c r="B130" s="181"/>
      <c r="C130" s="182"/>
      <c r="D130" s="183" t="s">
        <v>335</v>
      </c>
      <c r="E130" s="184"/>
      <c r="F130" s="185">
        <f t="shared" si="6"/>
        <v>129</v>
      </c>
      <c r="G130" s="186" t="s">
        <v>369</v>
      </c>
      <c r="H130" s="184" t="s">
        <v>11</v>
      </c>
      <c r="I130" s="187"/>
      <c r="J130" s="184"/>
      <c r="K130" s="179"/>
    </row>
    <row r="131" spans="1:11" x14ac:dyDescent="0.2">
      <c r="A131" s="188"/>
      <c r="B131" s="186"/>
      <c r="C131" s="182"/>
      <c r="D131" s="183" t="s">
        <v>417</v>
      </c>
      <c r="E131" s="184"/>
      <c r="F131" s="185">
        <f>ROW() - 1</f>
        <v>130</v>
      </c>
      <c r="G131" s="186" t="s">
        <v>402</v>
      </c>
      <c r="H131" s="184" t="s">
        <v>11</v>
      </c>
      <c r="I131" s="187"/>
      <c r="J131" s="184"/>
      <c r="K131" s="179"/>
    </row>
    <row r="132" spans="1:11" x14ac:dyDescent="0.2">
      <c r="A132" s="188"/>
      <c r="B132" s="186"/>
      <c r="C132" s="182"/>
      <c r="D132" s="183" t="s">
        <v>438</v>
      </c>
      <c r="E132" s="184"/>
      <c r="F132" s="185">
        <f>ROW() - 1</f>
        <v>131</v>
      </c>
      <c r="G132" s="186" t="s">
        <v>439</v>
      </c>
      <c r="H132" s="184" t="s">
        <v>11</v>
      </c>
      <c r="I132" s="187"/>
      <c r="J132" s="184"/>
      <c r="K132" s="179"/>
    </row>
    <row r="133" spans="1:11" ht="32" x14ac:dyDescent="0.2">
      <c r="A133" s="77"/>
      <c r="B133" s="26"/>
      <c r="C133" s="17"/>
      <c r="D133" s="18" t="s">
        <v>88</v>
      </c>
      <c r="E133" s="19"/>
      <c r="F133" s="20">
        <f t="shared" si="6"/>
        <v>132</v>
      </c>
      <c r="G133" s="16" t="s">
        <v>687</v>
      </c>
      <c r="H133" s="19"/>
      <c r="I133" s="129"/>
      <c r="J133" s="19"/>
      <c r="K133" s="143"/>
    </row>
    <row r="134" spans="1:11" ht="17" x14ac:dyDescent="0.2">
      <c r="A134" s="180"/>
      <c r="B134" s="181"/>
      <c r="C134" s="182"/>
      <c r="D134" s="183" t="s">
        <v>352</v>
      </c>
      <c r="E134" s="184"/>
      <c r="F134" s="185">
        <f t="shared" si="6"/>
        <v>133</v>
      </c>
      <c r="G134" s="186" t="s">
        <v>89</v>
      </c>
      <c r="H134" s="184" t="s">
        <v>11</v>
      </c>
      <c r="I134" s="187"/>
      <c r="J134" s="184"/>
      <c r="K134" s="179"/>
    </row>
    <row r="135" spans="1:11" ht="17" x14ac:dyDescent="0.2">
      <c r="A135" s="180"/>
      <c r="B135" s="181"/>
      <c r="C135" s="182"/>
      <c r="D135" s="183" t="s">
        <v>336</v>
      </c>
      <c r="E135" s="184"/>
      <c r="F135" s="185">
        <f t="shared" si="6"/>
        <v>134</v>
      </c>
      <c r="G135" s="186" t="s">
        <v>370</v>
      </c>
      <c r="H135" s="184" t="s">
        <v>11</v>
      </c>
      <c r="I135" s="187"/>
      <c r="J135" s="184"/>
      <c r="K135" s="179"/>
    </row>
    <row r="136" spans="1:11" x14ac:dyDescent="0.2">
      <c r="A136" s="188"/>
      <c r="B136" s="186"/>
      <c r="C136" s="182"/>
      <c r="D136" s="183" t="s">
        <v>418</v>
      </c>
      <c r="E136" s="184"/>
      <c r="F136" s="185">
        <f>ROW() - 1</f>
        <v>135</v>
      </c>
      <c r="G136" s="186" t="s">
        <v>403</v>
      </c>
      <c r="H136" s="184" t="s">
        <v>11</v>
      </c>
      <c r="I136" s="187"/>
      <c r="J136" s="184"/>
      <c r="K136" s="179"/>
    </row>
    <row r="137" spans="1:11" x14ac:dyDescent="0.2">
      <c r="A137" s="188"/>
      <c r="B137" s="186"/>
      <c r="C137" s="182"/>
      <c r="D137" s="183" t="s">
        <v>440</v>
      </c>
      <c r="E137" s="184"/>
      <c r="F137" s="185">
        <f>ROW() - 1</f>
        <v>136</v>
      </c>
      <c r="G137" s="186" t="s">
        <v>441</v>
      </c>
      <c r="H137" s="184" t="s">
        <v>11</v>
      </c>
      <c r="I137" s="187"/>
      <c r="J137" s="184"/>
      <c r="K137" s="179"/>
    </row>
    <row r="138" spans="1:11" ht="32" x14ac:dyDescent="0.2">
      <c r="A138" s="77"/>
      <c r="B138" s="26"/>
      <c r="C138" s="17"/>
      <c r="D138" s="18" t="s">
        <v>90</v>
      </c>
      <c r="E138" s="19"/>
      <c r="F138" s="20">
        <f t="shared" si="6"/>
        <v>137</v>
      </c>
      <c r="G138" s="16" t="s">
        <v>688</v>
      </c>
      <c r="H138" s="19"/>
      <c r="I138" s="129"/>
      <c r="J138" s="19"/>
      <c r="K138" s="143"/>
    </row>
    <row r="139" spans="1:11" ht="17" x14ac:dyDescent="0.2">
      <c r="A139" s="180"/>
      <c r="B139" s="181"/>
      <c r="C139" s="182"/>
      <c r="D139" s="183" t="s">
        <v>353</v>
      </c>
      <c r="E139" s="184"/>
      <c r="F139" s="185">
        <f t="shared" si="6"/>
        <v>138</v>
      </c>
      <c r="G139" s="186" t="s">
        <v>91</v>
      </c>
      <c r="H139" s="184" t="s">
        <v>11</v>
      </c>
      <c r="I139" s="187"/>
      <c r="J139" s="184"/>
      <c r="K139" s="179"/>
    </row>
    <row r="140" spans="1:11" ht="17" x14ac:dyDescent="0.2">
      <c r="A140" s="180"/>
      <c r="B140" s="181"/>
      <c r="C140" s="182"/>
      <c r="D140" s="183" t="s">
        <v>337</v>
      </c>
      <c r="E140" s="184"/>
      <c r="F140" s="185">
        <f t="shared" si="6"/>
        <v>139</v>
      </c>
      <c r="G140" s="186" t="s">
        <v>371</v>
      </c>
      <c r="H140" s="184" t="s">
        <v>11</v>
      </c>
      <c r="I140" s="187"/>
      <c r="J140" s="184"/>
      <c r="K140" s="179"/>
    </row>
    <row r="141" spans="1:11" x14ac:dyDescent="0.2">
      <c r="A141" s="188"/>
      <c r="B141" s="186"/>
      <c r="C141" s="182"/>
      <c r="D141" s="183" t="s">
        <v>419</v>
      </c>
      <c r="E141" s="184"/>
      <c r="F141" s="185">
        <f>ROW() - 1</f>
        <v>140</v>
      </c>
      <c r="G141" s="186" t="s">
        <v>404</v>
      </c>
      <c r="H141" s="184" t="s">
        <v>11</v>
      </c>
      <c r="I141" s="187"/>
      <c r="J141" s="184"/>
      <c r="K141" s="179"/>
    </row>
    <row r="142" spans="1:11" x14ac:dyDescent="0.2">
      <c r="A142" s="188"/>
      <c r="B142" s="186"/>
      <c r="C142" s="182"/>
      <c r="D142" s="183" t="s">
        <v>442</v>
      </c>
      <c r="E142" s="184"/>
      <c r="F142" s="185">
        <f>ROW() - 1</f>
        <v>141</v>
      </c>
      <c r="G142" s="186" t="s">
        <v>443</v>
      </c>
      <c r="H142" s="184" t="s">
        <v>11</v>
      </c>
      <c r="I142" s="187"/>
      <c r="J142" s="184"/>
      <c r="K142" s="179"/>
    </row>
    <row r="143" spans="1:11" ht="32" x14ac:dyDescent="0.2">
      <c r="A143" s="77"/>
      <c r="B143" s="26"/>
      <c r="C143" s="17"/>
      <c r="D143" s="18" t="s">
        <v>92</v>
      </c>
      <c r="E143" s="19"/>
      <c r="F143" s="20">
        <f t="shared" si="6"/>
        <v>142</v>
      </c>
      <c r="G143" s="16" t="s">
        <v>689</v>
      </c>
      <c r="H143" s="19"/>
      <c r="I143" s="129"/>
      <c r="J143" s="19"/>
      <c r="K143" s="143"/>
    </row>
    <row r="144" spans="1:11" ht="17" x14ac:dyDescent="0.2">
      <c r="A144" s="180"/>
      <c r="B144" s="181"/>
      <c r="C144" s="182"/>
      <c r="D144" s="183" t="s">
        <v>354</v>
      </c>
      <c r="E144" s="184"/>
      <c r="F144" s="185">
        <f t="shared" si="6"/>
        <v>143</v>
      </c>
      <c r="G144" s="186" t="s">
        <v>93</v>
      </c>
      <c r="H144" s="184" t="s">
        <v>11</v>
      </c>
      <c r="I144" s="187"/>
      <c r="J144" s="184"/>
      <c r="K144" s="179"/>
    </row>
    <row r="145" spans="1:11" ht="17" x14ac:dyDescent="0.2">
      <c r="A145" s="180"/>
      <c r="B145" s="181"/>
      <c r="C145" s="182"/>
      <c r="D145" s="183" t="s">
        <v>338</v>
      </c>
      <c r="E145" s="184"/>
      <c r="F145" s="185">
        <f t="shared" si="6"/>
        <v>144</v>
      </c>
      <c r="G145" s="186" t="s">
        <v>372</v>
      </c>
      <c r="H145" s="184" t="s">
        <v>11</v>
      </c>
      <c r="I145" s="187"/>
      <c r="J145" s="184"/>
      <c r="K145" s="179"/>
    </row>
    <row r="146" spans="1:11" x14ac:dyDescent="0.2">
      <c r="A146" s="188"/>
      <c r="B146" s="186"/>
      <c r="C146" s="182"/>
      <c r="D146" s="183" t="s">
        <v>420</v>
      </c>
      <c r="E146" s="184"/>
      <c r="F146" s="185">
        <f>ROW() - 1</f>
        <v>145</v>
      </c>
      <c r="G146" s="186" t="s">
        <v>405</v>
      </c>
      <c r="H146" s="184" t="s">
        <v>11</v>
      </c>
      <c r="I146" s="187"/>
      <c r="J146" s="184"/>
      <c r="K146" s="179"/>
    </row>
    <row r="147" spans="1:11" x14ac:dyDescent="0.2">
      <c r="A147" s="188"/>
      <c r="B147" s="186"/>
      <c r="C147" s="182"/>
      <c r="D147" s="183" t="s">
        <v>444</v>
      </c>
      <c r="E147" s="184"/>
      <c r="F147" s="185">
        <f>ROW() - 1</f>
        <v>146</v>
      </c>
      <c r="G147" s="186" t="s">
        <v>445</v>
      </c>
      <c r="H147" s="184" t="s">
        <v>11</v>
      </c>
      <c r="I147" s="187"/>
      <c r="J147" s="184"/>
      <c r="K147" s="179"/>
    </row>
    <row r="148" spans="1:11" ht="32" x14ac:dyDescent="0.2">
      <c r="A148" s="77"/>
      <c r="B148" s="26"/>
      <c r="C148" s="17"/>
      <c r="D148" s="18" t="s">
        <v>94</v>
      </c>
      <c r="E148" s="19"/>
      <c r="F148" s="20">
        <f t="shared" si="6"/>
        <v>147</v>
      </c>
      <c r="G148" s="16" t="s">
        <v>690</v>
      </c>
      <c r="H148" s="19"/>
      <c r="I148" s="129"/>
      <c r="J148" s="19"/>
      <c r="K148" s="143"/>
    </row>
    <row r="149" spans="1:11" ht="17" x14ac:dyDescent="0.2">
      <c r="A149" s="180"/>
      <c r="B149" s="181"/>
      <c r="C149" s="182"/>
      <c r="D149" s="183" t="s">
        <v>355</v>
      </c>
      <c r="E149" s="184"/>
      <c r="F149" s="185">
        <f t="shared" si="6"/>
        <v>148</v>
      </c>
      <c r="G149" s="186" t="s">
        <v>95</v>
      </c>
      <c r="H149" s="184" t="s">
        <v>11</v>
      </c>
      <c r="I149" s="187"/>
      <c r="J149" s="184"/>
      <c r="K149" s="179"/>
    </row>
    <row r="150" spans="1:11" ht="17" x14ac:dyDescent="0.2">
      <c r="A150" s="180"/>
      <c r="B150" s="181"/>
      <c r="C150" s="182"/>
      <c r="D150" s="183" t="s">
        <v>339</v>
      </c>
      <c r="E150" s="184"/>
      <c r="F150" s="185">
        <f t="shared" si="6"/>
        <v>149</v>
      </c>
      <c r="G150" s="186" t="s">
        <v>373</v>
      </c>
      <c r="H150" s="184" t="s">
        <v>11</v>
      </c>
      <c r="I150" s="187"/>
      <c r="J150" s="184"/>
      <c r="K150" s="179"/>
    </row>
    <row r="151" spans="1:11" x14ac:dyDescent="0.2">
      <c r="A151" s="188"/>
      <c r="B151" s="186"/>
      <c r="C151" s="182"/>
      <c r="D151" s="183" t="s">
        <v>459</v>
      </c>
      <c r="E151" s="184"/>
      <c r="F151" s="185">
        <f>ROW() - 1</f>
        <v>150</v>
      </c>
      <c r="G151" s="186" t="s">
        <v>406</v>
      </c>
      <c r="H151" s="184" t="s">
        <v>11</v>
      </c>
      <c r="I151" s="187"/>
      <c r="J151" s="184"/>
      <c r="K151" s="179"/>
    </row>
    <row r="152" spans="1:11" x14ac:dyDescent="0.2">
      <c r="A152" s="188"/>
      <c r="B152" s="186"/>
      <c r="C152" s="182"/>
      <c r="D152" s="183" t="s">
        <v>460</v>
      </c>
      <c r="E152" s="184"/>
      <c r="F152" s="185">
        <f>ROW() - 1</f>
        <v>151</v>
      </c>
      <c r="G152" s="186" t="s">
        <v>446</v>
      </c>
      <c r="H152" s="184" t="s">
        <v>11</v>
      </c>
      <c r="I152" s="187"/>
      <c r="J152" s="184"/>
      <c r="K152" s="179"/>
    </row>
    <row r="153" spans="1:11" ht="32" x14ac:dyDescent="0.2">
      <c r="A153" s="77"/>
      <c r="B153" s="26"/>
      <c r="C153" s="17"/>
      <c r="D153" s="18" t="s">
        <v>96</v>
      </c>
      <c r="E153" s="19"/>
      <c r="F153" s="20">
        <f t="shared" si="6"/>
        <v>152</v>
      </c>
      <c r="G153" s="16" t="s">
        <v>691</v>
      </c>
      <c r="H153" s="19"/>
      <c r="I153" s="129"/>
      <c r="J153" s="19"/>
      <c r="K153" s="143"/>
    </row>
    <row r="154" spans="1:11" ht="17" x14ac:dyDescent="0.2">
      <c r="A154" s="180"/>
      <c r="B154" s="181"/>
      <c r="C154" s="182"/>
      <c r="D154" s="183" t="s">
        <v>356</v>
      </c>
      <c r="E154" s="184"/>
      <c r="F154" s="185">
        <f t="shared" si="6"/>
        <v>153</v>
      </c>
      <c r="G154" s="186" t="s">
        <v>97</v>
      </c>
      <c r="H154" s="184" t="s">
        <v>11</v>
      </c>
      <c r="I154" s="187"/>
      <c r="J154" s="184"/>
      <c r="K154" s="179"/>
    </row>
    <row r="155" spans="1:11" ht="17" x14ac:dyDescent="0.2">
      <c r="A155" s="180"/>
      <c r="B155" s="181"/>
      <c r="C155" s="182"/>
      <c r="D155" s="183" t="s">
        <v>340</v>
      </c>
      <c r="E155" s="184"/>
      <c r="F155" s="185">
        <f t="shared" si="6"/>
        <v>154</v>
      </c>
      <c r="G155" s="186" t="s">
        <v>374</v>
      </c>
      <c r="H155" s="184" t="s">
        <v>11</v>
      </c>
      <c r="I155" s="187"/>
      <c r="J155" s="184"/>
      <c r="K155" s="179"/>
    </row>
    <row r="156" spans="1:11" x14ac:dyDescent="0.2">
      <c r="A156" s="188"/>
      <c r="B156" s="186"/>
      <c r="C156" s="182"/>
      <c r="D156" s="183" t="s">
        <v>447</v>
      </c>
      <c r="E156" s="184"/>
      <c r="F156" s="185">
        <f>ROW() - 1</f>
        <v>155</v>
      </c>
      <c r="G156" s="186" t="s">
        <v>448</v>
      </c>
      <c r="H156" s="184" t="s">
        <v>11</v>
      </c>
      <c r="I156" s="187"/>
      <c r="J156" s="184"/>
      <c r="K156" s="179"/>
    </row>
    <row r="157" spans="1:11" x14ac:dyDescent="0.2">
      <c r="A157" s="188"/>
      <c r="B157" s="186"/>
      <c r="C157" s="182"/>
      <c r="D157" s="183" t="s">
        <v>449</v>
      </c>
      <c r="E157" s="184"/>
      <c r="F157" s="185">
        <f>ROW() - 1</f>
        <v>156</v>
      </c>
      <c r="G157" s="186" t="s">
        <v>450</v>
      </c>
      <c r="H157" s="184" t="s">
        <v>11</v>
      </c>
      <c r="I157" s="187"/>
      <c r="J157" s="184"/>
      <c r="K157" s="179"/>
    </row>
    <row r="158" spans="1:11" ht="32" x14ac:dyDescent="0.2">
      <c r="A158" s="77"/>
      <c r="B158" s="26"/>
      <c r="C158" s="17"/>
      <c r="D158" s="18" t="s">
        <v>98</v>
      </c>
      <c r="E158" s="19"/>
      <c r="F158" s="20">
        <f t="shared" si="6"/>
        <v>157</v>
      </c>
      <c r="G158" s="16" t="s">
        <v>692</v>
      </c>
      <c r="H158" s="19"/>
      <c r="I158" s="129"/>
      <c r="J158" s="19"/>
      <c r="K158" s="143"/>
    </row>
    <row r="159" spans="1:11" ht="17" x14ac:dyDescent="0.2">
      <c r="A159" s="180"/>
      <c r="B159" s="181"/>
      <c r="C159" s="182"/>
      <c r="D159" s="183" t="s">
        <v>357</v>
      </c>
      <c r="E159" s="184"/>
      <c r="F159" s="185">
        <f t="shared" si="6"/>
        <v>158</v>
      </c>
      <c r="G159" s="186" t="s">
        <v>99</v>
      </c>
      <c r="H159" s="184" t="s">
        <v>11</v>
      </c>
      <c r="I159" s="187"/>
      <c r="J159" s="184"/>
      <c r="K159" s="179"/>
    </row>
    <row r="160" spans="1:11" ht="17" x14ac:dyDescent="0.2">
      <c r="A160" s="180"/>
      <c r="B160" s="181"/>
      <c r="C160" s="182"/>
      <c r="D160" s="183" t="s">
        <v>341</v>
      </c>
      <c r="E160" s="184"/>
      <c r="F160" s="185">
        <f t="shared" si="6"/>
        <v>159</v>
      </c>
      <c r="G160" s="186" t="s">
        <v>375</v>
      </c>
      <c r="H160" s="184" t="s">
        <v>11</v>
      </c>
      <c r="I160" s="187"/>
      <c r="J160" s="184"/>
      <c r="K160" s="179"/>
    </row>
    <row r="161" spans="1:11" x14ac:dyDescent="0.2">
      <c r="A161" s="188"/>
      <c r="B161" s="186"/>
      <c r="C161" s="182"/>
      <c r="D161" s="183" t="s">
        <v>421</v>
      </c>
      <c r="E161" s="184"/>
      <c r="F161" s="185">
        <f>ROW() - 1</f>
        <v>160</v>
      </c>
      <c r="G161" s="186" t="s">
        <v>407</v>
      </c>
      <c r="H161" s="184" t="s">
        <v>11</v>
      </c>
      <c r="I161" s="187"/>
      <c r="J161" s="184"/>
      <c r="K161" s="179"/>
    </row>
    <row r="162" spans="1:11" x14ac:dyDescent="0.2">
      <c r="A162" s="188"/>
      <c r="B162" s="186"/>
      <c r="C162" s="182"/>
      <c r="D162" s="183" t="s">
        <v>451</v>
      </c>
      <c r="E162" s="184"/>
      <c r="F162" s="185">
        <f>ROW() - 1</f>
        <v>161</v>
      </c>
      <c r="G162" s="186" t="s">
        <v>452</v>
      </c>
      <c r="H162" s="184" t="s">
        <v>11</v>
      </c>
      <c r="I162" s="187"/>
      <c r="J162" s="184"/>
      <c r="K162" s="179"/>
    </row>
    <row r="163" spans="1:11" ht="32" x14ac:dyDescent="0.2">
      <c r="A163" s="77"/>
      <c r="B163" s="26"/>
      <c r="C163" s="17"/>
      <c r="D163" s="18" t="s">
        <v>100</v>
      </c>
      <c r="E163" s="19"/>
      <c r="F163" s="20">
        <f t="shared" si="6"/>
        <v>162</v>
      </c>
      <c r="G163" s="16" t="s">
        <v>693</v>
      </c>
      <c r="H163" s="19"/>
      <c r="I163" s="129"/>
      <c r="J163" s="19"/>
      <c r="K163" s="143"/>
    </row>
    <row r="164" spans="1:11" ht="17" x14ac:dyDescent="0.2">
      <c r="A164" s="180"/>
      <c r="B164" s="181"/>
      <c r="C164" s="182"/>
      <c r="D164" s="183" t="s">
        <v>358</v>
      </c>
      <c r="E164" s="184"/>
      <c r="F164" s="185">
        <f t="shared" si="6"/>
        <v>163</v>
      </c>
      <c r="G164" s="186" t="s">
        <v>101</v>
      </c>
      <c r="H164" s="184" t="s">
        <v>11</v>
      </c>
      <c r="I164" s="187"/>
      <c r="J164" s="184"/>
      <c r="K164" s="179"/>
    </row>
    <row r="165" spans="1:11" ht="17" x14ac:dyDescent="0.2">
      <c r="A165" s="180"/>
      <c r="B165" s="181"/>
      <c r="C165" s="182"/>
      <c r="D165" s="183" t="s">
        <v>342</v>
      </c>
      <c r="E165" s="184"/>
      <c r="F165" s="185">
        <f t="shared" si="6"/>
        <v>164</v>
      </c>
      <c r="G165" s="186" t="s">
        <v>376</v>
      </c>
      <c r="H165" s="184" t="s">
        <v>11</v>
      </c>
      <c r="I165" s="187"/>
      <c r="J165" s="184"/>
      <c r="K165" s="179"/>
    </row>
    <row r="166" spans="1:11" x14ac:dyDescent="0.2">
      <c r="A166" s="188"/>
      <c r="B166" s="186"/>
      <c r="C166" s="182"/>
      <c r="D166" s="183" t="s">
        <v>422</v>
      </c>
      <c r="E166" s="184"/>
      <c r="F166" s="185">
        <f>ROW() - 1</f>
        <v>165</v>
      </c>
      <c r="G166" s="186" t="s">
        <v>408</v>
      </c>
      <c r="H166" s="184" t="s">
        <v>11</v>
      </c>
      <c r="I166" s="187"/>
      <c r="J166" s="184"/>
      <c r="K166" s="179"/>
    </row>
    <row r="167" spans="1:11" x14ac:dyDescent="0.2">
      <c r="A167" s="188"/>
      <c r="B167" s="186"/>
      <c r="C167" s="182"/>
      <c r="D167" s="183" t="s">
        <v>453</v>
      </c>
      <c r="E167" s="184"/>
      <c r="F167" s="185">
        <f>ROW() - 1</f>
        <v>166</v>
      </c>
      <c r="G167" s="186" t="s">
        <v>454</v>
      </c>
      <c r="H167" s="184" t="s">
        <v>11</v>
      </c>
      <c r="I167" s="187"/>
      <c r="J167" s="184"/>
      <c r="K167" s="179"/>
    </row>
    <row r="168" spans="1:11" ht="32" x14ac:dyDescent="0.2">
      <c r="A168" s="77"/>
      <c r="B168" s="26"/>
      <c r="C168" s="17"/>
      <c r="D168" s="18" t="s">
        <v>102</v>
      </c>
      <c r="E168" s="19"/>
      <c r="F168" s="20">
        <f t="shared" si="6"/>
        <v>167</v>
      </c>
      <c r="G168" s="16" t="s">
        <v>694</v>
      </c>
      <c r="H168" s="19"/>
      <c r="I168" s="129"/>
      <c r="J168" s="19"/>
      <c r="K168" s="143"/>
    </row>
    <row r="169" spans="1:11" ht="17" x14ac:dyDescent="0.2">
      <c r="A169" s="180"/>
      <c r="B169" s="181"/>
      <c r="C169" s="182"/>
      <c r="D169" s="183" t="s">
        <v>359</v>
      </c>
      <c r="E169" s="184"/>
      <c r="F169" s="185">
        <f t="shared" si="6"/>
        <v>168</v>
      </c>
      <c r="G169" s="186" t="s">
        <v>103</v>
      </c>
      <c r="H169" s="184" t="s">
        <v>11</v>
      </c>
      <c r="I169" s="187"/>
      <c r="J169" s="184"/>
      <c r="K169" s="179"/>
    </row>
    <row r="170" spans="1:11" ht="17" x14ac:dyDescent="0.2">
      <c r="A170" s="180"/>
      <c r="B170" s="181"/>
      <c r="C170" s="182"/>
      <c r="D170" s="183" t="s">
        <v>343</v>
      </c>
      <c r="E170" s="184"/>
      <c r="F170" s="185">
        <f t="shared" si="6"/>
        <v>169</v>
      </c>
      <c r="G170" s="186" t="s">
        <v>377</v>
      </c>
      <c r="H170" s="184" t="s">
        <v>11</v>
      </c>
      <c r="I170" s="187"/>
      <c r="J170" s="184"/>
      <c r="K170" s="179"/>
    </row>
    <row r="171" spans="1:11" x14ac:dyDescent="0.2">
      <c r="A171" s="188"/>
      <c r="B171" s="186"/>
      <c r="C171" s="182"/>
      <c r="D171" s="183" t="s">
        <v>423</v>
      </c>
      <c r="E171" s="184"/>
      <c r="F171" s="185">
        <f>ROW() - 1</f>
        <v>170</v>
      </c>
      <c r="G171" s="186" t="s">
        <v>409</v>
      </c>
      <c r="H171" s="184" t="s">
        <v>11</v>
      </c>
      <c r="I171" s="187"/>
      <c r="J171" s="184"/>
      <c r="K171" s="179"/>
    </row>
    <row r="172" spans="1:11" x14ac:dyDescent="0.2">
      <c r="A172" s="188"/>
      <c r="B172" s="186"/>
      <c r="C172" s="182"/>
      <c r="D172" s="183" t="s">
        <v>455</v>
      </c>
      <c r="E172" s="184"/>
      <c r="F172" s="185">
        <f>ROW() - 1</f>
        <v>171</v>
      </c>
      <c r="G172" s="186" t="s">
        <v>456</v>
      </c>
      <c r="H172" s="184" t="s">
        <v>11</v>
      </c>
      <c r="I172" s="187"/>
      <c r="J172" s="184"/>
      <c r="K172" s="179"/>
    </row>
    <row r="173" spans="1:11" ht="32" x14ac:dyDescent="0.2">
      <c r="A173" s="77"/>
      <c r="B173" s="26"/>
      <c r="C173" s="17"/>
      <c r="D173" s="18" t="s">
        <v>104</v>
      </c>
      <c r="E173" s="19"/>
      <c r="F173" s="20">
        <f t="shared" si="6"/>
        <v>172</v>
      </c>
      <c r="G173" s="16" t="s">
        <v>695</v>
      </c>
      <c r="H173" s="19"/>
      <c r="I173" s="129"/>
      <c r="J173" s="19"/>
      <c r="K173" s="143"/>
    </row>
    <row r="174" spans="1:11" ht="17" x14ac:dyDescent="0.2">
      <c r="A174" s="180"/>
      <c r="B174" s="181"/>
      <c r="C174" s="182"/>
      <c r="D174" s="183" t="s">
        <v>344</v>
      </c>
      <c r="E174" s="184"/>
      <c r="F174" s="185">
        <f t="shared" si="6"/>
        <v>173</v>
      </c>
      <c r="G174" s="186" t="s">
        <v>105</v>
      </c>
      <c r="H174" s="184" t="s">
        <v>11</v>
      </c>
      <c r="I174" s="187"/>
      <c r="J174" s="184"/>
      <c r="K174" s="179"/>
    </row>
    <row r="175" spans="1:11" ht="17" x14ac:dyDescent="0.2">
      <c r="A175" s="180"/>
      <c r="B175" s="181"/>
      <c r="C175" s="182"/>
      <c r="D175" s="183" t="s">
        <v>360</v>
      </c>
      <c r="E175" s="184"/>
      <c r="F175" s="185">
        <f t="shared" si="6"/>
        <v>174</v>
      </c>
      <c r="G175" s="186" t="s">
        <v>378</v>
      </c>
      <c r="H175" s="184" t="s">
        <v>11</v>
      </c>
      <c r="I175" s="187"/>
      <c r="J175" s="184"/>
      <c r="K175" s="179"/>
    </row>
    <row r="176" spans="1:11" x14ac:dyDescent="0.2">
      <c r="A176" s="188"/>
      <c r="B176" s="186"/>
      <c r="C176" s="182"/>
      <c r="D176" s="183" t="s">
        <v>424</v>
      </c>
      <c r="E176" s="184"/>
      <c r="F176" s="185">
        <f t="shared" ref="F176:F182" si="7">ROW() - 1</f>
        <v>175</v>
      </c>
      <c r="G176" s="186" t="s">
        <v>410</v>
      </c>
      <c r="H176" s="184" t="s">
        <v>11</v>
      </c>
      <c r="I176" s="187"/>
      <c r="J176" s="184"/>
      <c r="K176" s="179"/>
    </row>
    <row r="177" spans="1:11" x14ac:dyDescent="0.2">
      <c r="A177" s="188"/>
      <c r="B177" s="186"/>
      <c r="C177" s="182"/>
      <c r="D177" s="183" t="s">
        <v>457</v>
      </c>
      <c r="E177" s="184"/>
      <c r="F177" s="185">
        <f t="shared" si="7"/>
        <v>176</v>
      </c>
      <c r="G177" s="186" t="s">
        <v>458</v>
      </c>
      <c r="H177" s="184" t="s">
        <v>11</v>
      </c>
      <c r="I177" s="187"/>
      <c r="J177" s="184"/>
      <c r="K177" s="179"/>
    </row>
    <row r="178" spans="1:11" ht="32" x14ac:dyDescent="0.2">
      <c r="A178" s="80"/>
      <c r="B178" s="16"/>
      <c r="C178" s="17"/>
      <c r="D178" s="18" t="s">
        <v>558</v>
      </c>
      <c r="E178" s="19"/>
      <c r="F178" s="20">
        <f t="shared" si="7"/>
        <v>177</v>
      </c>
      <c r="G178" s="16" t="s">
        <v>696</v>
      </c>
      <c r="H178" s="19"/>
      <c r="I178" s="129"/>
      <c r="J178" s="19"/>
      <c r="K178" s="143"/>
    </row>
    <row r="179" spans="1:11" x14ac:dyDescent="0.2">
      <c r="A179" s="188"/>
      <c r="B179" s="186"/>
      <c r="C179" s="182"/>
      <c r="D179" s="183" t="s">
        <v>587</v>
      </c>
      <c r="E179" s="184"/>
      <c r="F179" s="185">
        <f t="shared" si="7"/>
        <v>178</v>
      </c>
      <c r="G179" s="186" t="s">
        <v>105</v>
      </c>
      <c r="H179" s="184" t="s">
        <v>11</v>
      </c>
      <c r="I179" s="187"/>
      <c r="J179" s="184"/>
      <c r="K179" s="179"/>
    </row>
    <row r="180" spans="1:11" x14ac:dyDescent="0.2">
      <c r="A180" s="188"/>
      <c r="B180" s="186"/>
      <c r="C180" s="182"/>
      <c r="D180" s="183" t="s">
        <v>588</v>
      </c>
      <c r="E180" s="184"/>
      <c r="F180" s="185">
        <f t="shared" si="7"/>
        <v>179</v>
      </c>
      <c r="G180" s="186" t="s">
        <v>378</v>
      </c>
      <c r="H180" s="184" t="s">
        <v>11</v>
      </c>
      <c r="I180" s="187"/>
      <c r="J180" s="184"/>
      <c r="K180" s="179"/>
    </row>
    <row r="181" spans="1:11" x14ac:dyDescent="0.2">
      <c r="A181" s="188"/>
      <c r="B181" s="186"/>
      <c r="C181" s="182"/>
      <c r="D181" s="183" t="s">
        <v>589</v>
      </c>
      <c r="E181" s="184"/>
      <c r="F181" s="185">
        <f t="shared" si="7"/>
        <v>180</v>
      </c>
      <c r="G181" s="186" t="s">
        <v>410</v>
      </c>
      <c r="H181" s="184" t="s">
        <v>11</v>
      </c>
      <c r="I181" s="187"/>
      <c r="J181" s="184"/>
      <c r="K181" s="179"/>
    </row>
    <row r="182" spans="1:11" x14ac:dyDescent="0.2">
      <c r="A182" s="189"/>
      <c r="B182" s="190"/>
      <c r="C182" s="191"/>
      <c r="D182" s="192" t="s">
        <v>590</v>
      </c>
      <c r="E182" s="193"/>
      <c r="F182" s="194">
        <f t="shared" si="7"/>
        <v>181</v>
      </c>
      <c r="G182" s="190" t="s">
        <v>458</v>
      </c>
      <c r="H182" s="193" t="s">
        <v>11</v>
      </c>
      <c r="I182" s="195"/>
      <c r="J182" s="193"/>
      <c r="K182" s="179"/>
    </row>
    <row r="183" spans="1:11" ht="32" x14ac:dyDescent="0.2">
      <c r="A183" s="112"/>
      <c r="B183" s="113" t="s">
        <v>106</v>
      </c>
      <c r="C183" s="114"/>
      <c r="D183" s="115" t="s">
        <v>107</v>
      </c>
      <c r="E183" s="116"/>
      <c r="F183" s="117">
        <f t="shared" si="6"/>
        <v>182</v>
      </c>
      <c r="G183" s="118" t="s">
        <v>765</v>
      </c>
      <c r="H183" s="116"/>
      <c r="I183" s="142"/>
      <c r="J183" s="116"/>
      <c r="K183" s="143"/>
    </row>
    <row r="184" spans="1:11" ht="32" x14ac:dyDescent="0.2">
      <c r="A184" s="83"/>
      <c r="B184" s="62"/>
      <c r="C184" s="28"/>
      <c r="D184" s="29" t="s">
        <v>108</v>
      </c>
      <c r="E184" s="30"/>
      <c r="F184" s="31">
        <f t="shared" si="6"/>
        <v>183</v>
      </c>
      <c r="G184" s="27" t="s">
        <v>766</v>
      </c>
      <c r="H184" s="30"/>
      <c r="I184" s="128"/>
      <c r="J184" s="30"/>
      <c r="K184" s="143"/>
    </row>
    <row r="185" spans="1:11" ht="32" x14ac:dyDescent="0.2">
      <c r="A185" s="80"/>
      <c r="B185" s="16"/>
      <c r="C185" s="17"/>
      <c r="D185" s="18" t="s">
        <v>468</v>
      </c>
      <c r="E185" s="19"/>
      <c r="F185" s="20">
        <f>ROW() - 1</f>
        <v>184</v>
      </c>
      <c r="G185" s="16" t="s">
        <v>767</v>
      </c>
      <c r="H185" s="19"/>
      <c r="I185" s="129"/>
      <c r="J185" s="19"/>
      <c r="K185" s="143"/>
    </row>
    <row r="186" spans="1:11" ht="32" x14ac:dyDescent="0.2">
      <c r="A186" s="80"/>
      <c r="B186" s="16"/>
      <c r="C186" s="17"/>
      <c r="D186" s="18" t="s">
        <v>109</v>
      </c>
      <c r="E186" s="19"/>
      <c r="F186" s="20">
        <f>ROW() - 1</f>
        <v>185</v>
      </c>
      <c r="G186" s="16" t="s">
        <v>768</v>
      </c>
      <c r="H186" s="19"/>
      <c r="I186" s="129"/>
      <c r="J186" s="19"/>
      <c r="K186" s="143"/>
    </row>
    <row r="187" spans="1:11" ht="32" x14ac:dyDescent="0.2">
      <c r="A187" s="80"/>
      <c r="B187" s="16"/>
      <c r="C187" s="17"/>
      <c r="D187" s="18" t="s">
        <v>469</v>
      </c>
      <c r="E187" s="19"/>
      <c r="F187" s="20">
        <f t="shared" ref="F187:F189" si="8">ROW() - 1</f>
        <v>186</v>
      </c>
      <c r="G187" s="16" t="s">
        <v>769</v>
      </c>
      <c r="H187" s="19"/>
      <c r="I187" s="129"/>
      <c r="J187" s="19"/>
      <c r="K187" s="143"/>
    </row>
    <row r="188" spans="1:11" ht="32" x14ac:dyDescent="0.2">
      <c r="A188" s="80"/>
      <c r="B188" s="16"/>
      <c r="C188" s="17"/>
      <c r="D188" s="18" t="s">
        <v>474</v>
      </c>
      <c r="E188" s="19"/>
      <c r="F188" s="20">
        <f t="shared" si="8"/>
        <v>187</v>
      </c>
      <c r="G188" s="16" t="s">
        <v>770</v>
      </c>
      <c r="H188" s="19"/>
      <c r="I188" s="129"/>
      <c r="J188" s="19"/>
      <c r="K188" s="143"/>
    </row>
    <row r="189" spans="1:11" ht="32" x14ac:dyDescent="0.2">
      <c r="A189" s="80"/>
      <c r="B189" s="16"/>
      <c r="C189" s="17"/>
      <c r="D189" s="18" t="s">
        <v>470</v>
      </c>
      <c r="E189" s="19"/>
      <c r="F189" s="20">
        <f t="shared" si="8"/>
        <v>188</v>
      </c>
      <c r="G189" s="16" t="s">
        <v>771</v>
      </c>
      <c r="H189" s="19"/>
      <c r="I189" s="129"/>
      <c r="J189" s="19"/>
      <c r="K189" s="143"/>
    </row>
    <row r="190" spans="1:11" ht="32" x14ac:dyDescent="0.2">
      <c r="A190" s="126"/>
      <c r="B190" s="72"/>
      <c r="C190" s="73"/>
      <c r="D190" s="74" t="s">
        <v>471</v>
      </c>
      <c r="E190" s="75"/>
      <c r="F190" s="76">
        <f>ROW() - 1</f>
        <v>189</v>
      </c>
      <c r="G190" s="72" t="s">
        <v>772</v>
      </c>
      <c r="H190" s="75"/>
      <c r="I190" s="130"/>
      <c r="J190" s="75"/>
      <c r="K190" s="143"/>
    </row>
    <row r="191" spans="1:11" ht="32" x14ac:dyDescent="0.2">
      <c r="A191" s="112"/>
      <c r="B191" s="113" t="s">
        <v>110</v>
      </c>
      <c r="C191" s="114" t="s">
        <v>19</v>
      </c>
      <c r="D191" s="115" t="s">
        <v>472</v>
      </c>
      <c r="E191" s="116"/>
      <c r="F191" s="117">
        <f t="shared" si="6"/>
        <v>190</v>
      </c>
      <c r="G191" s="118" t="s">
        <v>697</v>
      </c>
      <c r="H191" s="116"/>
      <c r="I191" s="142"/>
      <c r="J191" s="116"/>
      <c r="K191" s="143"/>
    </row>
    <row r="192" spans="1:11" ht="32" x14ac:dyDescent="0.2">
      <c r="A192" s="90"/>
      <c r="B192" s="63"/>
      <c r="C192" s="33"/>
      <c r="D192" s="34" t="s">
        <v>473</v>
      </c>
      <c r="E192" s="35"/>
      <c r="F192" s="36">
        <f t="shared" si="6"/>
        <v>191</v>
      </c>
      <c r="G192" s="32" t="s">
        <v>698</v>
      </c>
      <c r="H192" s="35"/>
      <c r="I192" s="139"/>
      <c r="J192" s="35"/>
      <c r="K192" s="143"/>
    </row>
    <row r="193" spans="1:11" ht="32" x14ac:dyDescent="0.2">
      <c r="A193" s="112"/>
      <c r="B193" s="113" t="s">
        <v>111</v>
      </c>
      <c r="C193" s="114" t="s">
        <v>28</v>
      </c>
      <c r="D193" s="115" t="s">
        <v>112</v>
      </c>
      <c r="E193" s="116"/>
      <c r="F193" s="117">
        <f t="shared" si="6"/>
        <v>192</v>
      </c>
      <c r="G193" s="118" t="s">
        <v>699</v>
      </c>
      <c r="H193" s="116"/>
      <c r="I193" s="142"/>
      <c r="J193" s="116"/>
      <c r="K193" s="146" t="str">
        <f>HYPERLINK("#'sec5_aenumb'!A1","Open →")</f>
        <v>Open →</v>
      </c>
    </row>
    <row r="194" spans="1:11" ht="32" x14ac:dyDescent="0.2">
      <c r="A194" s="127"/>
      <c r="B194" s="27"/>
      <c r="C194" s="28"/>
      <c r="D194" s="29" t="s">
        <v>475</v>
      </c>
      <c r="E194" s="30"/>
      <c r="F194" s="31">
        <f>ROW() - 1</f>
        <v>193</v>
      </c>
      <c r="G194" s="27" t="s">
        <v>700</v>
      </c>
      <c r="H194" s="30"/>
      <c r="I194" s="128"/>
      <c r="J194" s="30"/>
      <c r="K194" s="143"/>
    </row>
    <row r="195" spans="1:11" ht="32" x14ac:dyDescent="0.2">
      <c r="A195" s="80"/>
      <c r="B195" s="16"/>
      <c r="C195" s="17"/>
      <c r="D195" s="18" t="s">
        <v>476</v>
      </c>
      <c r="E195" s="19"/>
      <c r="F195" s="20">
        <f>ROW() - 1</f>
        <v>194</v>
      </c>
      <c r="G195" s="16" t="s">
        <v>701</v>
      </c>
      <c r="H195" s="19"/>
      <c r="I195" s="129"/>
      <c r="J195" s="19"/>
      <c r="K195" s="143"/>
    </row>
    <row r="196" spans="1:11" ht="32" x14ac:dyDescent="0.2">
      <c r="A196" s="80"/>
      <c r="B196" s="16"/>
      <c r="C196" s="17"/>
      <c r="D196" s="18" t="s">
        <v>477</v>
      </c>
      <c r="E196" s="19"/>
      <c r="F196" s="20">
        <f>ROW() - 1</f>
        <v>195</v>
      </c>
      <c r="G196" s="16" t="s">
        <v>702</v>
      </c>
      <c r="H196" s="19"/>
      <c r="I196" s="129"/>
      <c r="J196" s="19"/>
      <c r="K196" s="143"/>
    </row>
    <row r="197" spans="1:11" ht="32" x14ac:dyDescent="0.2">
      <c r="A197" s="80"/>
      <c r="B197" s="16"/>
      <c r="C197" s="17"/>
      <c r="D197" s="18" t="s">
        <v>478</v>
      </c>
      <c r="E197" s="19"/>
      <c r="F197" s="20">
        <f>ROW() - 1</f>
        <v>196</v>
      </c>
      <c r="G197" s="16" t="s">
        <v>703</v>
      </c>
      <c r="H197" s="19"/>
      <c r="I197" s="129"/>
      <c r="J197" s="19"/>
      <c r="K197" s="143"/>
    </row>
    <row r="198" spans="1:11" ht="32" x14ac:dyDescent="0.2">
      <c r="A198" s="77"/>
      <c r="B198" s="26"/>
      <c r="C198" s="17"/>
      <c r="D198" s="18" t="s">
        <v>113</v>
      </c>
      <c r="E198" s="19"/>
      <c r="F198" s="20">
        <f t="shared" si="6"/>
        <v>197</v>
      </c>
      <c r="G198" s="16" t="s">
        <v>704</v>
      </c>
      <c r="H198" s="19"/>
      <c r="I198" s="129"/>
      <c r="J198" s="19"/>
      <c r="K198" s="143"/>
    </row>
    <row r="199" spans="1:11" ht="32" x14ac:dyDescent="0.2">
      <c r="A199" s="77"/>
      <c r="B199" s="26"/>
      <c r="C199" s="17"/>
      <c r="D199" s="18" t="s">
        <v>388</v>
      </c>
      <c r="E199" s="19"/>
      <c r="F199" s="20">
        <f t="shared" si="6"/>
        <v>198</v>
      </c>
      <c r="G199" s="16" t="s">
        <v>705</v>
      </c>
      <c r="H199" s="19"/>
      <c r="I199" s="129"/>
      <c r="J199" s="19"/>
      <c r="K199" s="143"/>
    </row>
    <row r="200" spans="1:11" ht="32" x14ac:dyDescent="0.2">
      <c r="A200" s="77"/>
      <c r="B200" s="26"/>
      <c r="C200" s="17"/>
      <c r="D200" s="18" t="s">
        <v>385</v>
      </c>
      <c r="E200" s="19"/>
      <c r="F200" s="20">
        <f t="shared" si="6"/>
        <v>199</v>
      </c>
      <c r="G200" s="16" t="s">
        <v>706</v>
      </c>
      <c r="H200" s="19"/>
      <c r="I200" s="129"/>
      <c r="J200" s="19"/>
      <c r="K200" s="143"/>
    </row>
    <row r="201" spans="1:11" ht="32" x14ac:dyDescent="0.2">
      <c r="A201" s="77"/>
      <c r="B201" s="26"/>
      <c r="C201" s="17"/>
      <c r="D201" s="18" t="s">
        <v>386</v>
      </c>
      <c r="E201" s="19"/>
      <c r="F201" s="20">
        <f t="shared" si="6"/>
        <v>200</v>
      </c>
      <c r="G201" s="16" t="s">
        <v>707</v>
      </c>
      <c r="H201" s="19"/>
      <c r="I201" s="129"/>
      <c r="J201" s="19"/>
      <c r="K201" s="143"/>
    </row>
    <row r="202" spans="1:11" ht="17" x14ac:dyDescent="0.2">
      <c r="A202" s="77"/>
      <c r="B202" s="26"/>
      <c r="C202" s="17"/>
      <c r="D202" s="18" t="s">
        <v>387</v>
      </c>
      <c r="E202" s="19"/>
      <c r="F202" s="20">
        <f t="shared" si="6"/>
        <v>201</v>
      </c>
      <c r="G202" s="16" t="s">
        <v>708</v>
      </c>
      <c r="H202" s="19"/>
      <c r="I202" s="129"/>
      <c r="J202" s="19"/>
      <c r="K202" s="143"/>
    </row>
    <row r="203" spans="1:11" ht="33" thickBot="1" x14ac:dyDescent="0.25">
      <c r="A203" s="81"/>
      <c r="B203" s="82"/>
      <c r="C203" s="73"/>
      <c r="D203" s="74" t="s">
        <v>114</v>
      </c>
      <c r="E203" s="75"/>
      <c r="F203" s="76">
        <f t="shared" si="6"/>
        <v>202</v>
      </c>
      <c r="G203" s="72" t="s">
        <v>709</v>
      </c>
      <c r="H203" s="75"/>
      <c r="I203" s="130"/>
      <c r="J203" s="75"/>
      <c r="K203" s="144"/>
    </row>
  </sheetData>
  <phoneticPr fontId="6" type="noConversion"/>
  <dataValidations count="1">
    <dataValidation type="list" allowBlank="1" showInputMessage="1" showErrorMessage="1" sqref="H2:H203 E2:E203" xr:uid="{99125860-D949-EC4A-9886-BE074863F448}">
      <formula1>"Yes, No"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DDB7-8425-47AB-A835-1C4C6A7A3EE2}">
  <sheetPr codeName="Feuil3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A22" sqref="A22"/>
    </sheetView>
  </sheetViews>
  <sheetFormatPr baseColWidth="10" defaultColWidth="9.1640625" defaultRowHeight="24" x14ac:dyDescent="0.3"/>
  <cols>
    <col min="1" max="1" width="51.6640625" style="218" bestFit="1" customWidth="1"/>
    <col min="2" max="3" width="9.1640625" style="218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118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x14ac:dyDescent="0.3">
      <c r="A3" s="204" t="s">
        <v>119</v>
      </c>
      <c r="B3" s="202">
        <v>2</v>
      </c>
      <c r="C3" s="206">
        <v>4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x14ac:dyDescent="0.3">
      <c r="A4" s="204" t="s">
        <v>120</v>
      </c>
      <c r="B4" s="202">
        <v>4</v>
      </c>
      <c r="C4" s="206">
        <v>2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5" thickBot="1" x14ac:dyDescent="0.35">
      <c r="A5" s="205" t="s">
        <v>121</v>
      </c>
      <c r="B5" s="203">
        <v>3</v>
      </c>
      <c r="C5" s="207">
        <v>3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x14ac:dyDescent="0.3">
      <c r="A6" s="219"/>
      <c r="B6" s="219"/>
      <c r="C6" s="219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x14ac:dyDescent="0.3">
      <c r="A7" s="13"/>
      <c r="B7" s="13"/>
      <c r="C7" s="13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x14ac:dyDescent="0.3">
      <c r="A8" s="13"/>
      <c r="B8" s="13"/>
      <c r="C8" s="13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x14ac:dyDescent="0.3">
      <c r="A9" s="13"/>
      <c r="B9" s="13"/>
      <c r="C9" s="13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x14ac:dyDescent="0.3">
      <c r="A10" s="13"/>
      <c r="B10" s="13"/>
      <c r="C10" s="13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x14ac:dyDescent="0.3">
      <c r="A11" s="13"/>
      <c r="B11" s="13"/>
      <c r="C11" s="13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3">
      <c r="A12" s="13"/>
      <c r="B12" s="13"/>
      <c r="C12" s="13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3">
      <c r="A13" s="13"/>
      <c r="B13" s="13"/>
      <c r="C13" s="13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3">
      <c r="A14" s="13"/>
      <c r="B14" s="13"/>
      <c r="C14" s="13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3">
      <c r="A15" s="13"/>
      <c r="B15" s="13"/>
      <c r="C15" s="13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3">
      <c r="A16" s="13"/>
      <c r="B16" s="13"/>
      <c r="C16" s="13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3">
      <c r="A17" s="13"/>
      <c r="B17" s="13"/>
      <c r="C17" s="13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3">
      <c r="A18" s="13"/>
      <c r="B18" s="13"/>
      <c r="C18" s="13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3">
      <c r="A19" s="13"/>
      <c r="B19" s="13"/>
      <c r="C19" s="13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3">
      <c r="A20" s="13"/>
      <c r="B20" s="13"/>
      <c r="C20" s="13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3">
      <c r="A21" s="13"/>
      <c r="B21" s="13"/>
      <c r="C21" s="13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3">
      <c r="A22" s="13"/>
      <c r="B22" s="13"/>
      <c r="C22" s="13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3">
      <c r="A23" s="13"/>
      <c r="B23" s="13"/>
      <c r="C23" s="13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3">
      <c r="A24" s="13"/>
      <c r="B24" s="13"/>
      <c r="C24" s="13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3">
      <c r="A25" s="13"/>
      <c r="B25" s="13"/>
      <c r="C25" s="13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3">
      <c r="A26" s="13"/>
      <c r="B26" s="13"/>
      <c r="C26" s="13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3">
      <c r="A27" s="13"/>
      <c r="B27" s="13"/>
      <c r="C27" s="13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3">
      <c r="A28" s="13"/>
      <c r="B28" s="13"/>
      <c r="C28" s="13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3">
      <c r="A29" s="13"/>
      <c r="B29" s="13"/>
      <c r="C29" s="13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3">
      <c r="A30" s="13"/>
      <c r="B30" s="13"/>
      <c r="C30" s="13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3">
      <c r="A31" s="13"/>
      <c r="B31" s="13"/>
      <c r="C31" s="13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3">
      <c r="A32" s="13"/>
      <c r="B32" s="13"/>
      <c r="C32" s="13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3">
      <c r="A33" s="13"/>
      <c r="B33" s="13"/>
      <c r="C33" s="13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3">
      <c r="A34" s="13"/>
      <c r="B34" s="13"/>
      <c r="C34" s="13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3">
      <c r="A35" s="13"/>
      <c r="B35" s="13"/>
      <c r="C35" s="13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3">
      <c r="A36" s="13"/>
      <c r="B36" s="13"/>
      <c r="C36" s="13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3">
      <c r="A37" s="13"/>
      <c r="B37" s="13"/>
      <c r="C37" s="13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3">
      <c r="A38" s="13"/>
      <c r="B38" s="13"/>
      <c r="C38" s="13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3">
      <c r="A39" s="13"/>
      <c r="B39" s="13"/>
      <c r="C39" s="13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3">
      <c r="A40" s="13"/>
      <c r="B40" s="13"/>
      <c r="C40" s="13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3">
      <c r="A41" s="13"/>
      <c r="B41" s="13"/>
      <c r="C41" s="13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3">
      <c r="A42" s="13"/>
      <c r="B42" s="13"/>
      <c r="C42" s="13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3">
      <c r="A43" s="13"/>
      <c r="B43" s="13"/>
      <c r="C43" s="13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3">
      <c r="A44" s="13"/>
      <c r="B44" s="13"/>
      <c r="C44" s="13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3">
      <c r="A45" s="13"/>
      <c r="B45" s="13"/>
      <c r="C45" s="13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3">
      <c r="A46" s="13"/>
      <c r="B46" s="13"/>
      <c r="C46" s="13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3">
      <c r="A47" s="13"/>
      <c r="B47" s="13"/>
      <c r="C47" s="13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3">
      <c r="A48" s="13"/>
      <c r="B48" s="13"/>
      <c r="C48" s="13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3">
      <c r="A49" s="13"/>
      <c r="B49" s="13"/>
      <c r="C49" s="13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3">
      <c r="A50" s="13"/>
      <c r="B50" s="13"/>
      <c r="C50" s="13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3">
      <c r="A51" s="13"/>
      <c r="B51" s="13"/>
      <c r="C51" s="13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3">
      <c r="A52" s="13"/>
      <c r="B52" s="13"/>
      <c r="C52" s="13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3">
      <c r="A53" s="13"/>
      <c r="B53" s="13"/>
      <c r="C53" s="13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3">
      <c r="A54" s="13"/>
      <c r="B54" s="13"/>
      <c r="C54" s="13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3">
      <c r="A55" s="13"/>
      <c r="B55" s="13"/>
      <c r="C55" s="13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3">
      <c r="A56" s="13"/>
      <c r="B56" s="13"/>
      <c r="C56" s="13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3">
      <c r="A57" s="13"/>
      <c r="B57" s="13"/>
      <c r="C57" s="13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3">
      <c r="A58" s="13"/>
      <c r="B58" s="13"/>
      <c r="C58" s="13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3">
      <c r="A59" s="13"/>
      <c r="B59" s="13"/>
      <c r="C59" s="13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3">
      <c r="A60" s="13"/>
      <c r="B60" s="13"/>
      <c r="C60" s="13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3">
      <c r="A61" s="13"/>
      <c r="B61" s="13"/>
      <c r="C61" s="13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3">
      <c r="A62" s="13"/>
      <c r="B62" s="13"/>
      <c r="C62" s="13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3">
      <c r="A63" s="13"/>
      <c r="B63" s="13"/>
      <c r="C63" s="13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3">
      <c r="A64" s="13"/>
      <c r="B64" s="13"/>
      <c r="C64" s="13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3">
      <c r="A65" s="13"/>
      <c r="B65" s="13"/>
      <c r="C65" s="13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3">
      <c r="A66" s="13"/>
      <c r="B66" s="13"/>
      <c r="C66" s="13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3">
      <c r="A67" s="13"/>
      <c r="B67" s="13"/>
      <c r="C67" s="13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3">
      <c r="A68" s="13"/>
      <c r="B68" s="13"/>
      <c r="C68" s="13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3">
      <c r="A69" s="13"/>
      <c r="B69" s="13"/>
      <c r="C69" s="13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3">
      <c r="A70" s="13"/>
      <c r="B70" s="13"/>
      <c r="C70" s="13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3">
      <c r="A71" s="13"/>
      <c r="B71" s="13"/>
      <c r="C71" s="13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3">
      <c r="A72" s="13"/>
      <c r="B72" s="13"/>
      <c r="C72" s="13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3">
      <c r="A73" s="13"/>
      <c r="B73" s="13"/>
      <c r="C73" s="13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3">
      <c r="A74" s="13"/>
      <c r="B74" s="13"/>
      <c r="C74" s="13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3">
      <c r="A75" s="13"/>
      <c r="B75" s="13"/>
      <c r="C75" s="13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3">
      <c r="A76" s="13"/>
      <c r="B76" s="13"/>
      <c r="C76" s="13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3">
      <c r="A77" s="13"/>
      <c r="B77" s="13"/>
      <c r="C77" s="13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3">
      <c r="A78" s="13"/>
      <c r="B78" s="13"/>
      <c r="C78" s="13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3">
      <c r="A79" s="13"/>
      <c r="B79" s="13"/>
      <c r="C79" s="13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3">
      <c r="A80" s="13"/>
      <c r="B80" s="13"/>
      <c r="C80" s="13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3">
      <c r="A81" s="13"/>
      <c r="B81" s="13"/>
      <c r="C81" s="13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3">
      <c r="A82" s="13"/>
      <c r="B82" s="13"/>
      <c r="C82" s="13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3">
      <c r="A83" s="13"/>
      <c r="B83" s="13"/>
      <c r="C83" s="13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3">
      <c r="A84" s="13"/>
      <c r="B84" s="13"/>
      <c r="C84" s="13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3">
      <c r="A85" s="13"/>
      <c r="B85" s="13"/>
      <c r="C85" s="13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3">
      <c r="A86" s="13"/>
      <c r="B86" s="13"/>
      <c r="C86" s="13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3">
      <c r="A87" s="13"/>
      <c r="B87" s="13"/>
      <c r="C87" s="13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3">
      <c r="A88" s="13"/>
      <c r="B88" s="13"/>
      <c r="C88" s="13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3">
      <c r="A89" s="13"/>
      <c r="B89" s="13"/>
      <c r="C89" s="13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3">
      <c r="A90" s="13"/>
      <c r="B90" s="13"/>
      <c r="C90" s="13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3">
      <c r="A91" s="13"/>
      <c r="B91" s="13"/>
      <c r="C91" s="13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3">
      <c r="A92" s="13"/>
      <c r="B92" s="13"/>
      <c r="C92" s="13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3">
      <c r="A93" s="13"/>
      <c r="B93" s="13"/>
      <c r="C93" s="13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3">
      <c r="A94" s="13"/>
      <c r="B94" s="13"/>
      <c r="C94" s="13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3">
      <c r="A95" s="13"/>
      <c r="B95" s="13"/>
      <c r="C95" s="13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3">
      <c r="A96" s="13"/>
      <c r="B96" s="13"/>
      <c r="C96" s="13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3">
      <c r="A97" s="13"/>
      <c r="B97" s="13"/>
      <c r="C97" s="13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3">
      <c r="A98" s="13"/>
      <c r="B98" s="13"/>
      <c r="C98" s="13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3">
      <c r="A99" s="13"/>
      <c r="B99" s="13"/>
      <c r="C99" s="13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3">
      <c r="A100" s="13"/>
      <c r="B100" s="13"/>
      <c r="C100" s="13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3">
      <c r="A101" s="13"/>
      <c r="B101" s="13"/>
      <c r="C101" s="13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3">
      <c r="A102" s="13"/>
      <c r="B102" s="13"/>
      <c r="C102" s="13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3">
      <c r="A103" s="13"/>
      <c r="B103" s="13"/>
      <c r="C103" s="13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3">
      <c r="A104" s="13"/>
      <c r="B104" s="13"/>
      <c r="C104" s="13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3">
      <c r="A105" s="13"/>
      <c r="B105" s="13"/>
      <c r="C105" s="13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3">
      <c r="A106" s="13"/>
      <c r="B106" s="13"/>
      <c r="C106" s="13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3">
      <c r="A107" s="13"/>
      <c r="B107" s="13"/>
      <c r="C107" s="13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3">
      <c r="A108" s="13"/>
      <c r="B108" s="13"/>
      <c r="C108" s="13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3">
      <c r="A109" s="13"/>
      <c r="B109" s="13"/>
      <c r="C109" s="13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3">
      <c r="A110" s="13"/>
      <c r="B110" s="13"/>
      <c r="C110" s="13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3">
      <c r="A111" s="13"/>
      <c r="B111" s="13"/>
      <c r="C111" s="13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3">
      <c r="A112" s="13"/>
      <c r="B112" s="13"/>
      <c r="C112" s="13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3">
      <c r="A113" s="13"/>
      <c r="B113" s="13"/>
      <c r="C113" s="13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3">
      <c r="A114" s="13"/>
      <c r="B114" s="13"/>
      <c r="C114" s="13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3">
      <c r="A115" s="13"/>
      <c r="B115" s="13"/>
      <c r="C115" s="13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3">
      <c r="A116" s="13"/>
      <c r="B116" s="13"/>
      <c r="C116" s="13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3">
      <c r="A117" s="13"/>
      <c r="B117" s="13"/>
      <c r="C117" s="13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3">
      <c r="A118" s="13"/>
      <c r="B118" s="13"/>
      <c r="C118" s="13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3">
      <c r="A119" s="13"/>
      <c r="B119" s="13"/>
      <c r="C119" s="13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3">
      <c r="A120" s="13"/>
      <c r="B120" s="13"/>
      <c r="C120" s="13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3">
      <c r="A121" s="13"/>
      <c r="B121" s="13"/>
      <c r="C121" s="13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3">
      <c r="A122" s="13"/>
      <c r="B122" s="13"/>
      <c r="C122" s="13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3">
      <c r="A123" s="13"/>
      <c r="B123" s="13"/>
      <c r="C123" s="13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3">
      <c r="A124" s="13"/>
      <c r="B124" s="13"/>
      <c r="C124" s="13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3">
      <c r="A125" s="13"/>
      <c r="B125" s="13"/>
      <c r="C125" s="13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3">
      <c r="A126" s="13"/>
      <c r="B126" s="13"/>
      <c r="C126" s="13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3">
      <c r="A127" s="13"/>
      <c r="B127" s="13"/>
      <c r="C127" s="13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3">
      <c r="A128" s="13"/>
      <c r="B128" s="13"/>
      <c r="C128" s="13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3">
      <c r="A129" s="13"/>
      <c r="B129" s="13"/>
      <c r="C129" s="13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3">
      <c r="A130" s="13"/>
      <c r="B130" s="13"/>
      <c r="C130" s="13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3">
      <c r="A131" s="13"/>
      <c r="B131" s="13"/>
      <c r="C131" s="13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3">
      <c r="A132" s="13"/>
      <c r="B132" s="13"/>
      <c r="C132" s="13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3">
      <c r="A133" s="13"/>
      <c r="B133" s="13"/>
      <c r="C133" s="13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3">
      <c r="A134" s="13"/>
      <c r="B134" s="13"/>
      <c r="C134" s="13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3">
      <c r="A135" s="13"/>
      <c r="B135" s="13"/>
      <c r="C135" s="13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3">
      <c r="A136" s="13"/>
      <c r="B136" s="13"/>
      <c r="C136" s="13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3">
      <c r="A137" s="13"/>
      <c r="B137" s="13"/>
      <c r="C137" s="13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3">
      <c r="A138" s="13"/>
      <c r="B138" s="13"/>
      <c r="C138" s="13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3">
      <c r="A139" s="13"/>
      <c r="B139" s="13"/>
      <c r="C139" s="13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3">
      <c r="A140" s="13"/>
      <c r="B140" s="13"/>
      <c r="C140" s="13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3">
      <c r="A141" s="13"/>
      <c r="B141" s="13"/>
      <c r="C141" s="13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3">
      <c r="A142" s="13"/>
      <c r="B142" s="13"/>
      <c r="C142" s="13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3">
      <c r="A143" s="13"/>
      <c r="B143" s="13"/>
      <c r="C143" s="13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3">
      <c r="A144" s="13"/>
      <c r="B144" s="13"/>
      <c r="C144" s="13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3">
      <c r="A145" s="13"/>
      <c r="B145" s="13"/>
      <c r="C145" s="13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3">
      <c r="A146" s="13"/>
      <c r="B146" s="13"/>
      <c r="C146" s="13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3">
      <c r="A147" s="13"/>
      <c r="B147" s="13"/>
      <c r="C147" s="13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3">
      <c r="A148" s="13"/>
      <c r="B148" s="13"/>
      <c r="C148" s="13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3">
      <c r="A149" s="13"/>
      <c r="B149" s="13"/>
      <c r="C149" s="13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3">
      <c r="A150" s="13"/>
      <c r="B150" s="13"/>
      <c r="C150" s="13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3">
      <c r="A151" s="13"/>
      <c r="B151" s="13"/>
      <c r="C151" s="13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3">
      <c r="A152" s="13"/>
      <c r="B152" s="13"/>
      <c r="C152" s="13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3">
      <c r="A153" s="13"/>
      <c r="B153" s="13"/>
      <c r="C153" s="13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3">
      <c r="A154" s="13"/>
      <c r="B154" s="13"/>
      <c r="C154" s="13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3">
      <c r="A155" s="13"/>
      <c r="B155" s="13"/>
      <c r="C155" s="13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3">
      <c r="A156" s="13"/>
      <c r="B156" s="13"/>
      <c r="C156" s="13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3">
      <c r="A157" s="13"/>
      <c r="B157" s="13"/>
      <c r="C157" s="13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3">
      <c r="A158" s="13"/>
      <c r="B158" s="13"/>
      <c r="C158" s="13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3">
      <c r="A159" s="13"/>
      <c r="B159" s="13"/>
      <c r="C159" s="13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3">
      <c r="A160" s="13"/>
      <c r="B160" s="13"/>
      <c r="C160" s="13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3">
      <c r="A161" s="13"/>
      <c r="B161" s="13"/>
      <c r="C161" s="13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3">
      <c r="A162" s="13"/>
      <c r="B162" s="13"/>
      <c r="C162" s="13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3">
      <c r="A163" s="13"/>
      <c r="B163" s="13"/>
      <c r="C163" s="13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3">
      <c r="A164" s="13"/>
      <c r="B164" s="13"/>
      <c r="C164" s="13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3">
      <c r="A165" s="13"/>
      <c r="B165" s="13"/>
      <c r="C165" s="13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3">
      <c r="A166" s="13"/>
      <c r="B166" s="13"/>
      <c r="C166" s="13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3">
      <c r="A167" s="13"/>
      <c r="B167" s="13"/>
      <c r="C167" s="13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3">
      <c r="A168" s="13"/>
      <c r="B168" s="13"/>
      <c r="C168" s="13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3">
      <c r="A169" s="13"/>
      <c r="B169" s="13"/>
      <c r="C169" s="13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3">
      <c r="A170" s="13"/>
      <c r="B170" s="13"/>
      <c r="C170" s="13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3">
      <c r="A171" s="13"/>
      <c r="B171" s="13"/>
      <c r="C171" s="13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3">
      <c r="A172" s="13"/>
      <c r="B172" s="13"/>
      <c r="C172" s="13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3">
      <c r="A173" s="13"/>
      <c r="B173" s="13"/>
      <c r="C173" s="13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3">
      <c r="A174" s="13"/>
      <c r="B174" s="13"/>
      <c r="C174" s="13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3">
      <c r="A175" s="13"/>
      <c r="B175" s="13"/>
      <c r="C175" s="13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3">
      <c r="A176" s="13"/>
      <c r="B176" s="13"/>
      <c r="C176" s="13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3">
      <c r="A177" s="13"/>
      <c r="B177" s="13"/>
      <c r="C177" s="13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3">
      <c r="A178" s="13"/>
      <c r="B178" s="13"/>
      <c r="C178" s="13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3">
      <c r="A179" s="13"/>
      <c r="B179" s="13"/>
      <c r="C179" s="13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3">
      <c r="A180" s="13"/>
      <c r="B180" s="13"/>
      <c r="C180" s="13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3">
      <c r="A181" s="13"/>
      <c r="B181" s="13"/>
      <c r="C181" s="13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3">
      <c r="A182" s="13"/>
      <c r="B182" s="13"/>
      <c r="C182" s="13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3">
      <c r="A183" s="13"/>
      <c r="B183" s="13"/>
      <c r="C183" s="13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3">
      <c r="A184" s="13"/>
      <c r="B184" s="13"/>
      <c r="C184" s="13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3">
      <c r="A185" s="13"/>
      <c r="B185" s="13"/>
      <c r="C185" s="13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3">
      <c r="A186" s="13"/>
      <c r="B186" s="13"/>
      <c r="C186" s="13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3">
      <c r="A187" s="13"/>
      <c r="B187" s="13"/>
      <c r="C187" s="13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3">
      <c r="A188" s="13"/>
      <c r="B188" s="13"/>
      <c r="C188" s="13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3">
      <c r="A189" s="13"/>
      <c r="B189" s="13"/>
      <c r="C189" s="13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3">
      <c r="A190" s="13"/>
      <c r="B190" s="13"/>
      <c r="C190" s="13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3">
      <c r="A191" s="13"/>
      <c r="B191" s="13"/>
      <c r="C191" s="13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3">
      <c r="A192" s="13"/>
      <c r="B192" s="13"/>
      <c r="C192" s="13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3">
      <c r="A193" s="13"/>
      <c r="B193" s="13"/>
      <c r="C193" s="13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3">
      <c r="A194" s="13"/>
      <c r="B194" s="13"/>
      <c r="C194" s="13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3">
      <c r="A195" s="13"/>
      <c r="B195" s="13"/>
      <c r="C195" s="13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3">
      <c r="A196" s="13"/>
      <c r="B196" s="13"/>
      <c r="C196" s="13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3">
      <c r="A197" s="13"/>
      <c r="B197" s="13"/>
      <c r="C197" s="13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3">
      <c r="A198" s="13"/>
      <c r="B198" s="13"/>
      <c r="C198" s="13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3">
      <c r="A199" s="13"/>
      <c r="B199" s="13"/>
      <c r="C199" s="13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3">
      <c r="A200" s="13"/>
      <c r="B200" s="13"/>
      <c r="C200" s="13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4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/>
    </sheetView>
  </sheetViews>
  <sheetFormatPr baseColWidth="10" defaultColWidth="11.5" defaultRowHeight="15" x14ac:dyDescent="0.2"/>
  <cols>
    <col min="1" max="1" width="76.83203125" bestFit="1" customWidth="1"/>
    <col min="2" max="3" width="9.1640625" customWidth="1"/>
  </cols>
  <sheetData>
    <row r="1" spans="1:26" s="1" customFormat="1" ht="20" thickBot="1" x14ac:dyDescent="0.25">
      <c r="A1" s="211" t="s">
        <v>115</v>
      </c>
      <c r="B1" s="212" t="s">
        <v>116</v>
      </c>
      <c r="C1" s="213" t="s">
        <v>117</v>
      </c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 spans="1:26" ht="25" thickTop="1" x14ac:dyDescent="0.3">
      <c r="A2" s="208" t="s">
        <v>122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123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591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124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668</v>
      </c>
      <c r="B6" s="202">
        <v>5</v>
      </c>
      <c r="C6" s="206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4" x14ac:dyDescent="0.3">
      <c r="A7" s="204" t="s">
        <v>592</v>
      </c>
      <c r="B7" s="202">
        <v>6</v>
      </c>
      <c r="C7" s="206">
        <v>6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ht="24" x14ac:dyDescent="0.3">
      <c r="A8" s="204" t="s">
        <v>125</v>
      </c>
      <c r="B8" s="202">
        <v>7</v>
      </c>
      <c r="C8" s="206">
        <v>7</v>
      </c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ht="24" x14ac:dyDescent="0.3">
      <c r="A9" s="204" t="s">
        <v>126</v>
      </c>
      <c r="B9" s="202">
        <v>8</v>
      </c>
      <c r="C9" s="206">
        <v>8</v>
      </c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ht="50" x14ac:dyDescent="0.3">
      <c r="A10" s="214" t="s">
        <v>127</v>
      </c>
      <c r="B10" s="202">
        <v>9</v>
      </c>
      <c r="C10" s="206">
        <v>9</v>
      </c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ht="25" x14ac:dyDescent="0.3">
      <c r="A11" s="214" t="s">
        <v>128</v>
      </c>
      <c r="B11" s="202">
        <v>10</v>
      </c>
      <c r="C11" s="206">
        <v>10</v>
      </c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ht="24" x14ac:dyDescent="0.3">
      <c r="A12" s="204" t="s">
        <v>129</v>
      </c>
      <c r="B12" s="202">
        <v>11</v>
      </c>
      <c r="C12" s="206">
        <v>11</v>
      </c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ht="24" x14ac:dyDescent="0.3">
      <c r="A13" s="204" t="s">
        <v>593</v>
      </c>
      <c r="B13" s="202">
        <v>12</v>
      </c>
      <c r="C13" s="206">
        <v>12</v>
      </c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ht="25" thickBot="1" x14ac:dyDescent="0.35">
      <c r="A14" s="205" t="s">
        <v>130</v>
      </c>
      <c r="B14" s="203">
        <v>13</v>
      </c>
      <c r="C14" s="207">
        <v>13</v>
      </c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5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11.5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131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773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5" thickBot="1" x14ac:dyDescent="0.35">
      <c r="A4" s="205" t="s">
        <v>132</v>
      </c>
      <c r="B4" s="203">
        <v>3</v>
      </c>
      <c r="C4" s="207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x14ac:dyDescent="0.2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x14ac:dyDescent="0.2">
      <c r="A6" s="147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x14ac:dyDescent="0.2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x14ac:dyDescent="0.2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x14ac:dyDescent="0.2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x14ac:dyDescent="0.2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x14ac:dyDescent="0.2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6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11.5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133</v>
      </c>
      <c r="B2" s="209">
        <v>1</v>
      </c>
      <c r="C2" s="210">
        <v>2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305</v>
      </c>
      <c r="B3" s="202">
        <v>2</v>
      </c>
      <c r="C3" s="206">
        <v>3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306</v>
      </c>
      <c r="B4" s="202">
        <v>3</v>
      </c>
      <c r="C4" s="206">
        <v>4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307</v>
      </c>
      <c r="B5" s="202">
        <v>4</v>
      </c>
      <c r="C5" s="206">
        <v>5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308</v>
      </c>
      <c r="B6" s="202">
        <v>5</v>
      </c>
      <c r="C6" s="206">
        <v>6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4" x14ac:dyDescent="0.3">
      <c r="A7" s="204" t="s">
        <v>309</v>
      </c>
      <c r="B7" s="202">
        <v>6</v>
      </c>
      <c r="C7" s="206">
        <v>7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ht="24" x14ac:dyDescent="0.3">
      <c r="A8" s="204" t="s">
        <v>310</v>
      </c>
      <c r="B8" s="202">
        <v>7</v>
      </c>
      <c r="C8" s="206">
        <v>8</v>
      </c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ht="24" x14ac:dyDescent="0.3">
      <c r="A9" s="204" t="s">
        <v>134</v>
      </c>
      <c r="B9" s="202">
        <v>8</v>
      </c>
      <c r="C9" s="206">
        <v>9</v>
      </c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ht="24" x14ac:dyDescent="0.3">
      <c r="A10" s="204" t="s">
        <v>135</v>
      </c>
      <c r="B10" s="202">
        <v>9</v>
      </c>
      <c r="C10" s="206">
        <v>10</v>
      </c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ht="25" thickBot="1" x14ac:dyDescent="0.35">
      <c r="A11" s="205" t="s">
        <v>136</v>
      </c>
      <c r="B11" s="203">
        <v>10</v>
      </c>
      <c r="C11" s="207">
        <v>11</v>
      </c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7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11.5" defaultRowHeight="15" x14ac:dyDescent="0.2"/>
  <cols>
    <col min="1" max="1" width="51.6640625" customWidth="1"/>
    <col min="2" max="3" width="9.1640625" customWidth="1"/>
    <col min="4" max="4" width="11.6640625" customWidth="1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311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312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313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314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315</v>
      </c>
      <c r="B6" s="202">
        <v>5</v>
      </c>
      <c r="C6" s="206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5" thickBot="1" x14ac:dyDescent="0.35">
      <c r="A7" s="205" t="s">
        <v>316</v>
      </c>
      <c r="B7" s="203">
        <v>6</v>
      </c>
      <c r="C7" s="207">
        <v>6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x14ac:dyDescent="0.2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x14ac:dyDescent="0.2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x14ac:dyDescent="0.2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x14ac:dyDescent="0.2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7E28-5AC1-D54B-B3FA-4B7FFB1FAE68}"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RowHeight="15" x14ac:dyDescent="0.2"/>
  <cols>
    <col min="1" max="1" width="55.33203125" bestFit="1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642</v>
      </c>
      <c r="B2" s="209">
        <v>2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664</v>
      </c>
      <c r="B3" s="202">
        <v>1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651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598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646</v>
      </c>
      <c r="B6" s="202">
        <v>5</v>
      </c>
      <c r="C6" s="206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4" x14ac:dyDescent="0.3">
      <c r="A7" s="204" t="s">
        <v>599</v>
      </c>
      <c r="B7" s="202">
        <v>6</v>
      </c>
      <c r="C7" s="206">
        <v>6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ht="24" x14ac:dyDescent="0.3">
      <c r="A8" s="204" t="s">
        <v>652</v>
      </c>
      <c r="B8" s="202">
        <v>7</v>
      </c>
      <c r="C8" s="206">
        <v>7</v>
      </c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ht="24" x14ac:dyDescent="0.3">
      <c r="A9" s="204" t="s">
        <v>644</v>
      </c>
      <c r="B9" s="202">
        <v>8</v>
      </c>
      <c r="C9" s="206">
        <v>8</v>
      </c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ht="24" x14ac:dyDescent="0.3">
      <c r="A10" s="204" t="s">
        <v>645</v>
      </c>
      <c r="B10" s="202">
        <v>9</v>
      </c>
      <c r="C10" s="206">
        <v>9</v>
      </c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ht="24" x14ac:dyDescent="0.3">
      <c r="A11" s="204" t="s">
        <v>647</v>
      </c>
      <c r="B11" s="202">
        <v>10</v>
      </c>
      <c r="C11" s="206">
        <v>10</v>
      </c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ht="24" x14ac:dyDescent="0.3">
      <c r="A12" s="204" t="s">
        <v>138</v>
      </c>
      <c r="B12" s="202">
        <v>11</v>
      </c>
      <c r="C12" s="206">
        <v>11</v>
      </c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ht="24" x14ac:dyDescent="0.3">
      <c r="A13" s="204" t="s">
        <v>594</v>
      </c>
      <c r="B13" s="202">
        <v>12</v>
      </c>
      <c r="C13" s="206">
        <v>12</v>
      </c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ht="24" x14ac:dyDescent="0.3">
      <c r="A14" s="204" t="s">
        <v>595</v>
      </c>
      <c r="B14" s="202">
        <v>13</v>
      </c>
      <c r="C14" s="206">
        <v>13</v>
      </c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ht="24" x14ac:dyDescent="0.3">
      <c r="A15" s="204" t="s">
        <v>139</v>
      </c>
      <c r="B15" s="202">
        <v>14</v>
      </c>
      <c r="C15" s="206">
        <v>14</v>
      </c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ht="24" x14ac:dyDescent="0.3">
      <c r="A16" s="204" t="s">
        <v>596</v>
      </c>
      <c r="B16" s="202">
        <v>15</v>
      </c>
      <c r="C16" s="206">
        <v>15</v>
      </c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ht="25" thickBot="1" x14ac:dyDescent="0.35">
      <c r="A17" s="205" t="s">
        <v>597</v>
      </c>
      <c r="B17" s="203">
        <v>16</v>
      </c>
      <c r="C17" s="207">
        <v>16</v>
      </c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8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11.5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663</v>
      </c>
      <c r="B2" s="209">
        <v>2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664</v>
      </c>
      <c r="B3" s="202">
        <v>1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651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665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666</v>
      </c>
      <c r="B6" s="202">
        <v>5</v>
      </c>
      <c r="C6" s="206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4" x14ac:dyDescent="0.3">
      <c r="A7" s="204" t="s">
        <v>667</v>
      </c>
      <c r="B7" s="202">
        <v>6</v>
      </c>
      <c r="C7" s="206">
        <v>6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ht="24" x14ac:dyDescent="0.3">
      <c r="A8" s="204" t="s">
        <v>138</v>
      </c>
      <c r="B8" s="202">
        <v>7</v>
      </c>
      <c r="C8" s="206">
        <v>7</v>
      </c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ht="25" thickBot="1" x14ac:dyDescent="0.35">
      <c r="A9" s="205" t="s">
        <v>139</v>
      </c>
      <c r="B9" s="203">
        <v>10</v>
      </c>
      <c r="C9" s="207">
        <v>10</v>
      </c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x14ac:dyDescent="0.2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x14ac:dyDescent="0.2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9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11.5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140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141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142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143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144</v>
      </c>
      <c r="B6" s="202">
        <v>5</v>
      </c>
      <c r="C6" s="206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4" x14ac:dyDescent="0.3">
      <c r="A7" s="204" t="s">
        <v>145</v>
      </c>
      <c r="B7" s="202">
        <v>6</v>
      </c>
      <c r="C7" s="206">
        <v>6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ht="24" x14ac:dyDescent="0.3">
      <c r="A8" s="204" t="s">
        <v>146</v>
      </c>
      <c r="B8" s="202">
        <v>7</v>
      </c>
      <c r="C8" s="206">
        <v>7</v>
      </c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ht="24" x14ac:dyDescent="0.3">
      <c r="A9" s="204" t="s">
        <v>142</v>
      </c>
      <c r="B9" s="202">
        <v>8</v>
      </c>
      <c r="C9" s="206">
        <v>8</v>
      </c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ht="24" x14ac:dyDescent="0.3">
      <c r="A10" s="204" t="s">
        <v>143</v>
      </c>
      <c r="B10" s="202">
        <v>9</v>
      </c>
      <c r="C10" s="206">
        <v>9</v>
      </c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ht="24" x14ac:dyDescent="0.3">
      <c r="A11" s="204" t="s">
        <v>144</v>
      </c>
      <c r="B11" s="202">
        <v>10</v>
      </c>
      <c r="C11" s="206">
        <v>10</v>
      </c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ht="24" x14ac:dyDescent="0.3">
      <c r="A12" s="204" t="s">
        <v>145</v>
      </c>
      <c r="B12" s="202">
        <v>11</v>
      </c>
      <c r="C12" s="206">
        <v>11</v>
      </c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ht="24" x14ac:dyDescent="0.3">
      <c r="A13" s="204" t="s">
        <v>147</v>
      </c>
      <c r="B13" s="202">
        <v>12</v>
      </c>
      <c r="C13" s="206">
        <v>12</v>
      </c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ht="24" x14ac:dyDescent="0.3">
      <c r="A14" s="204" t="s">
        <v>142</v>
      </c>
      <c r="B14" s="202">
        <v>13</v>
      </c>
      <c r="C14" s="206">
        <v>13</v>
      </c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ht="24" x14ac:dyDescent="0.3">
      <c r="A15" s="204" t="s">
        <v>143</v>
      </c>
      <c r="B15" s="202">
        <v>14</v>
      </c>
      <c r="C15" s="206">
        <v>14</v>
      </c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ht="24" x14ac:dyDescent="0.3">
      <c r="A16" s="204" t="s">
        <v>144</v>
      </c>
      <c r="B16" s="202">
        <v>15</v>
      </c>
      <c r="C16" s="206">
        <v>15</v>
      </c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ht="24" x14ac:dyDescent="0.3">
      <c r="A17" s="204" t="s">
        <v>145</v>
      </c>
      <c r="B17" s="202">
        <v>16</v>
      </c>
      <c r="C17" s="206">
        <v>16</v>
      </c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ht="24" x14ac:dyDescent="0.3">
      <c r="A18" s="204" t="s">
        <v>148</v>
      </c>
      <c r="B18" s="202">
        <v>17</v>
      </c>
      <c r="C18" s="206">
        <v>17</v>
      </c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ht="24" x14ac:dyDescent="0.3">
      <c r="A19" s="204" t="s">
        <v>142</v>
      </c>
      <c r="B19" s="202">
        <v>18</v>
      </c>
      <c r="C19" s="206">
        <v>18</v>
      </c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ht="24" x14ac:dyDescent="0.3">
      <c r="A20" s="204" t="s">
        <v>143</v>
      </c>
      <c r="B20" s="202">
        <v>19</v>
      </c>
      <c r="C20" s="206">
        <v>19</v>
      </c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ht="24" x14ac:dyDescent="0.3">
      <c r="A21" s="204" t="s">
        <v>144</v>
      </c>
      <c r="B21" s="202">
        <v>20</v>
      </c>
      <c r="C21" s="206">
        <v>20</v>
      </c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ht="24" x14ac:dyDescent="0.3">
      <c r="A22" s="204" t="s">
        <v>145</v>
      </c>
      <c r="B22" s="202">
        <v>21</v>
      </c>
      <c r="C22" s="206">
        <v>21</v>
      </c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ht="24" x14ac:dyDescent="0.3">
      <c r="A23" s="204" t="s">
        <v>149</v>
      </c>
      <c r="B23" s="202">
        <v>22</v>
      </c>
      <c r="C23" s="206">
        <v>22</v>
      </c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ht="24" x14ac:dyDescent="0.3">
      <c r="A24" s="204" t="s">
        <v>142</v>
      </c>
      <c r="B24" s="202">
        <v>23</v>
      </c>
      <c r="C24" s="206">
        <v>23</v>
      </c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ht="24" x14ac:dyDescent="0.3">
      <c r="A25" s="204" t="s">
        <v>143</v>
      </c>
      <c r="B25" s="202">
        <v>24</v>
      </c>
      <c r="C25" s="206">
        <v>24</v>
      </c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ht="24" x14ac:dyDescent="0.3">
      <c r="A26" s="204" t="s">
        <v>150</v>
      </c>
      <c r="B26" s="202">
        <v>25</v>
      </c>
      <c r="C26" s="206">
        <v>25</v>
      </c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ht="24" x14ac:dyDescent="0.3">
      <c r="A27" s="204" t="s">
        <v>145</v>
      </c>
      <c r="B27" s="202">
        <v>26</v>
      </c>
      <c r="C27" s="206">
        <v>26</v>
      </c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ht="24" x14ac:dyDescent="0.3">
      <c r="A28" s="204" t="s">
        <v>151</v>
      </c>
      <c r="B28" s="202">
        <v>27</v>
      </c>
      <c r="C28" s="206">
        <v>27</v>
      </c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ht="24" x14ac:dyDescent="0.3">
      <c r="A29" s="204" t="s">
        <v>152</v>
      </c>
      <c r="B29" s="202">
        <v>28</v>
      </c>
      <c r="C29" s="206">
        <v>28</v>
      </c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ht="24" x14ac:dyDescent="0.3">
      <c r="A30" s="204" t="s">
        <v>142</v>
      </c>
      <c r="B30" s="202">
        <v>29</v>
      </c>
      <c r="C30" s="206">
        <v>29</v>
      </c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ht="24" x14ac:dyDescent="0.3">
      <c r="A31" s="204" t="s">
        <v>143</v>
      </c>
      <c r="B31" s="202">
        <v>30</v>
      </c>
      <c r="C31" s="206">
        <v>30</v>
      </c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ht="24" x14ac:dyDescent="0.3">
      <c r="A32" s="204" t="s">
        <v>153</v>
      </c>
      <c r="B32" s="202">
        <v>31</v>
      </c>
      <c r="C32" s="206">
        <v>31</v>
      </c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ht="24" x14ac:dyDescent="0.3">
      <c r="A33" s="204" t="s">
        <v>657</v>
      </c>
      <c r="B33" s="202">
        <v>32</v>
      </c>
      <c r="C33" s="206">
        <v>32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ht="24" x14ac:dyDescent="0.3">
      <c r="A34" s="204" t="s">
        <v>658</v>
      </c>
      <c r="B34" s="202">
        <v>33</v>
      </c>
      <c r="C34" s="206">
        <v>33</v>
      </c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ht="24" x14ac:dyDescent="0.3">
      <c r="A35" s="204" t="s">
        <v>655</v>
      </c>
      <c r="B35" s="202">
        <v>34</v>
      </c>
      <c r="C35" s="206">
        <v>34</v>
      </c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ht="24" x14ac:dyDescent="0.3">
      <c r="A36" s="204" t="s">
        <v>320</v>
      </c>
      <c r="B36" s="202">
        <v>35</v>
      </c>
      <c r="C36" s="206">
        <v>35</v>
      </c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ht="24" x14ac:dyDescent="0.3">
      <c r="A37" s="204" t="s">
        <v>321</v>
      </c>
      <c r="B37" s="202">
        <v>36</v>
      </c>
      <c r="C37" s="206">
        <v>36</v>
      </c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ht="24" x14ac:dyDescent="0.3">
      <c r="A38" s="204" t="s">
        <v>322</v>
      </c>
      <c r="B38" s="202">
        <v>37</v>
      </c>
      <c r="C38" s="206">
        <v>37</v>
      </c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ht="24" x14ac:dyDescent="0.3">
      <c r="A39" s="204" t="s">
        <v>154</v>
      </c>
      <c r="B39" s="202">
        <v>38</v>
      </c>
      <c r="C39" s="206">
        <v>38</v>
      </c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ht="24" x14ac:dyDescent="0.3">
      <c r="A40" s="204" t="s">
        <v>656</v>
      </c>
      <c r="B40" s="202">
        <v>39</v>
      </c>
      <c r="C40" s="206">
        <v>39</v>
      </c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ht="24" x14ac:dyDescent="0.3">
      <c r="A41" s="204" t="s">
        <v>317</v>
      </c>
      <c r="B41" s="202">
        <v>40</v>
      </c>
      <c r="C41" s="206">
        <v>40</v>
      </c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ht="24" x14ac:dyDescent="0.3">
      <c r="A42" s="204" t="s">
        <v>318</v>
      </c>
      <c r="B42" s="202">
        <v>41</v>
      </c>
      <c r="C42" s="206">
        <v>41</v>
      </c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ht="24" x14ac:dyDescent="0.3">
      <c r="A43" s="204" t="s">
        <v>319</v>
      </c>
      <c r="B43" s="202">
        <v>42</v>
      </c>
      <c r="C43" s="206">
        <v>42</v>
      </c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ht="25" thickBot="1" x14ac:dyDescent="0.35">
      <c r="A44" s="205" t="s">
        <v>145</v>
      </c>
      <c r="B44" s="203">
        <v>43</v>
      </c>
      <c r="C44" s="207">
        <v>43</v>
      </c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0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11.5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155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156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157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150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145</v>
      </c>
      <c r="B6" s="202">
        <v>5</v>
      </c>
      <c r="C6" s="206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4" x14ac:dyDescent="0.3">
      <c r="A7" s="204" t="s">
        <v>158</v>
      </c>
      <c r="B7" s="202">
        <v>6</v>
      </c>
      <c r="C7" s="206">
        <v>6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ht="24" x14ac:dyDescent="0.3">
      <c r="A8" s="204" t="s">
        <v>156</v>
      </c>
      <c r="B8" s="202">
        <v>7</v>
      </c>
      <c r="C8" s="206">
        <v>7</v>
      </c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ht="24" x14ac:dyDescent="0.3">
      <c r="A9" s="204" t="s">
        <v>157</v>
      </c>
      <c r="B9" s="202">
        <v>8</v>
      </c>
      <c r="C9" s="206">
        <v>8</v>
      </c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ht="24" x14ac:dyDescent="0.3">
      <c r="A10" s="204" t="s">
        <v>150</v>
      </c>
      <c r="B10" s="202">
        <v>9</v>
      </c>
      <c r="C10" s="206">
        <v>9</v>
      </c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ht="25" thickBot="1" x14ac:dyDescent="0.35">
      <c r="A11" s="205" t="s">
        <v>159</v>
      </c>
      <c r="B11" s="203">
        <v>10</v>
      </c>
      <c r="C11" s="207">
        <v>10</v>
      </c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42C35-1F56-FE47-9680-0FFED868B75C}"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609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610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611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612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613</v>
      </c>
      <c r="B6" s="202">
        <v>5</v>
      </c>
      <c r="C6" s="206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5" thickBot="1" x14ac:dyDescent="0.35">
      <c r="A7" s="205" t="s">
        <v>273</v>
      </c>
      <c r="B7" s="203">
        <v>6</v>
      </c>
      <c r="C7" s="207">
        <v>6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x14ac:dyDescent="0.2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x14ac:dyDescent="0.2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x14ac:dyDescent="0.2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x14ac:dyDescent="0.2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52BC1-7E99-7D48-898C-C075D4FADC8F}"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629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630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631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632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633</v>
      </c>
      <c r="B6" s="202">
        <v>5</v>
      </c>
      <c r="C6" s="206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5" thickBot="1" x14ac:dyDescent="0.35">
      <c r="A7" s="205" t="s">
        <v>273</v>
      </c>
      <c r="B7" s="203">
        <v>6</v>
      </c>
      <c r="C7" s="207">
        <v>6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x14ac:dyDescent="0.2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x14ac:dyDescent="0.2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x14ac:dyDescent="0.2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x14ac:dyDescent="0.2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37D1-6801-1143-BF85-C561E0595B57}"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653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614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615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616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617</v>
      </c>
      <c r="B6" s="202">
        <v>5</v>
      </c>
      <c r="C6" s="206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5" thickBot="1" x14ac:dyDescent="0.35">
      <c r="A7" s="205" t="s">
        <v>273</v>
      </c>
      <c r="B7" s="203">
        <v>6</v>
      </c>
      <c r="C7" s="207">
        <v>6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x14ac:dyDescent="0.2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x14ac:dyDescent="0.2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x14ac:dyDescent="0.2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x14ac:dyDescent="0.2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1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11.5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634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600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601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638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600</v>
      </c>
      <c r="B6" s="202">
        <v>5</v>
      </c>
      <c r="C6" s="206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4" x14ac:dyDescent="0.3">
      <c r="A7" s="204" t="s">
        <v>601</v>
      </c>
      <c r="B7" s="202">
        <v>6</v>
      </c>
      <c r="C7" s="206">
        <v>6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ht="24" x14ac:dyDescent="0.3">
      <c r="A8" s="204" t="s">
        <v>639</v>
      </c>
      <c r="B8" s="202">
        <v>7</v>
      </c>
      <c r="C8" s="206">
        <v>7</v>
      </c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ht="24" x14ac:dyDescent="0.3">
      <c r="A9" s="204" t="s">
        <v>600</v>
      </c>
      <c r="B9" s="202">
        <v>8</v>
      </c>
      <c r="C9" s="206">
        <v>8</v>
      </c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ht="24" x14ac:dyDescent="0.3">
      <c r="A10" s="204" t="s">
        <v>601</v>
      </c>
      <c r="B10" s="202">
        <v>9</v>
      </c>
      <c r="C10" s="206">
        <v>9</v>
      </c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ht="24" x14ac:dyDescent="0.3">
      <c r="A11" s="204" t="s">
        <v>640</v>
      </c>
      <c r="B11" s="202">
        <v>10</v>
      </c>
      <c r="C11" s="206">
        <v>10</v>
      </c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ht="24" x14ac:dyDescent="0.3">
      <c r="A12" s="204" t="s">
        <v>600</v>
      </c>
      <c r="B12" s="202">
        <v>11</v>
      </c>
      <c r="C12" s="206">
        <v>11</v>
      </c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ht="24" x14ac:dyDescent="0.3">
      <c r="A13" s="204" t="s">
        <v>601</v>
      </c>
      <c r="B13" s="202">
        <v>12</v>
      </c>
      <c r="C13" s="206">
        <v>12</v>
      </c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ht="24" x14ac:dyDescent="0.3">
      <c r="A14" s="204" t="s">
        <v>641</v>
      </c>
      <c r="B14" s="202">
        <v>13</v>
      </c>
      <c r="C14" s="206">
        <v>13</v>
      </c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ht="24" x14ac:dyDescent="0.3">
      <c r="A15" s="204" t="s">
        <v>600</v>
      </c>
      <c r="B15" s="202">
        <v>14</v>
      </c>
      <c r="C15" s="206">
        <v>14</v>
      </c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ht="24" x14ac:dyDescent="0.3">
      <c r="A16" s="204" t="s">
        <v>601</v>
      </c>
      <c r="B16" s="202">
        <v>15</v>
      </c>
      <c r="C16" s="206">
        <v>15</v>
      </c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ht="24" x14ac:dyDescent="0.3">
      <c r="A17" s="204" t="s">
        <v>635</v>
      </c>
      <c r="B17" s="202">
        <v>16</v>
      </c>
      <c r="C17" s="206">
        <v>16</v>
      </c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ht="24" x14ac:dyDescent="0.3">
      <c r="A18" s="204" t="s">
        <v>600</v>
      </c>
      <c r="B18" s="202">
        <v>17</v>
      </c>
      <c r="C18" s="206">
        <v>17</v>
      </c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ht="24" x14ac:dyDescent="0.3">
      <c r="A19" s="204" t="s">
        <v>601</v>
      </c>
      <c r="B19" s="202">
        <v>18</v>
      </c>
      <c r="C19" s="206">
        <v>18</v>
      </c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ht="24" x14ac:dyDescent="0.3">
      <c r="A20" s="204" t="s">
        <v>636</v>
      </c>
      <c r="B20" s="202">
        <v>19</v>
      </c>
      <c r="C20" s="206">
        <v>19</v>
      </c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ht="24" x14ac:dyDescent="0.3">
      <c r="A21" s="204" t="s">
        <v>600</v>
      </c>
      <c r="B21" s="202">
        <v>20</v>
      </c>
      <c r="C21" s="206">
        <v>20</v>
      </c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ht="24" x14ac:dyDescent="0.3">
      <c r="A22" s="204" t="s">
        <v>601</v>
      </c>
      <c r="B22" s="202">
        <v>21</v>
      </c>
      <c r="C22" s="206">
        <v>21</v>
      </c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ht="24" x14ac:dyDescent="0.3">
      <c r="A23" s="204" t="s">
        <v>637</v>
      </c>
      <c r="B23" s="202">
        <v>22</v>
      </c>
      <c r="C23" s="206">
        <v>22</v>
      </c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ht="24" x14ac:dyDescent="0.3">
      <c r="A24" s="204" t="s">
        <v>600</v>
      </c>
      <c r="B24" s="202">
        <v>23</v>
      </c>
      <c r="C24" s="206">
        <v>23</v>
      </c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ht="24" x14ac:dyDescent="0.3">
      <c r="A25" s="204" t="s">
        <v>601</v>
      </c>
      <c r="B25" s="202">
        <v>24</v>
      </c>
      <c r="C25" s="206">
        <v>24</v>
      </c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ht="24" x14ac:dyDescent="0.3">
      <c r="A26" s="204" t="s">
        <v>662</v>
      </c>
      <c r="B26" s="202">
        <v>25</v>
      </c>
      <c r="C26" s="206">
        <v>25</v>
      </c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ht="24" x14ac:dyDescent="0.3">
      <c r="A27" s="204" t="s">
        <v>602</v>
      </c>
      <c r="B27" s="202">
        <v>26</v>
      </c>
      <c r="C27" s="206">
        <v>26</v>
      </c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ht="24" x14ac:dyDescent="0.3">
      <c r="A28" s="204" t="s">
        <v>603</v>
      </c>
      <c r="B28" s="202">
        <v>27</v>
      </c>
      <c r="C28" s="206">
        <v>27</v>
      </c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ht="24" x14ac:dyDescent="0.3">
      <c r="A29" s="204" t="s">
        <v>160</v>
      </c>
      <c r="B29" s="202">
        <v>28</v>
      </c>
      <c r="C29" s="206">
        <v>28</v>
      </c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ht="24" x14ac:dyDescent="0.3">
      <c r="A30" s="204" t="s">
        <v>161</v>
      </c>
      <c r="B30" s="202">
        <v>29</v>
      </c>
      <c r="C30" s="206">
        <v>29</v>
      </c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ht="24" x14ac:dyDescent="0.3">
      <c r="A31" s="204" t="s">
        <v>162</v>
      </c>
      <c r="B31" s="202">
        <v>30</v>
      </c>
      <c r="C31" s="206">
        <v>30</v>
      </c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ht="24" x14ac:dyDescent="0.3">
      <c r="A32" s="204" t="s">
        <v>163</v>
      </c>
      <c r="B32" s="202">
        <v>31</v>
      </c>
      <c r="C32" s="206">
        <v>31</v>
      </c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ht="24" x14ac:dyDescent="0.3">
      <c r="A33" s="204" t="s">
        <v>324</v>
      </c>
      <c r="B33" s="202">
        <v>32</v>
      </c>
      <c r="C33" s="206">
        <v>32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ht="25" thickBot="1" x14ac:dyDescent="0.35">
      <c r="A34" s="205" t="s">
        <v>164</v>
      </c>
      <c r="B34" s="203">
        <v>33</v>
      </c>
      <c r="C34" s="207">
        <v>33</v>
      </c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3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8.83203125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117</v>
      </c>
      <c r="C1" s="213" t="s">
        <v>116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137</v>
      </c>
      <c r="B2" s="209">
        <v>1</v>
      </c>
      <c r="C2" s="210">
        <v>0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165</v>
      </c>
      <c r="B3" s="202">
        <v>2</v>
      </c>
      <c r="C3" s="206">
        <v>1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166</v>
      </c>
      <c r="B4" s="202">
        <v>3</v>
      </c>
      <c r="C4" s="206">
        <v>2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167</v>
      </c>
      <c r="B5" s="202">
        <v>4</v>
      </c>
      <c r="C5" s="206">
        <v>3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168</v>
      </c>
      <c r="B6" s="202">
        <v>5</v>
      </c>
      <c r="C6" s="206">
        <v>4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4" x14ac:dyDescent="0.3">
      <c r="A7" s="204" t="s">
        <v>169</v>
      </c>
      <c r="B7" s="202">
        <v>6</v>
      </c>
      <c r="C7" s="206">
        <v>5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ht="24" x14ac:dyDescent="0.3">
      <c r="A8" s="204" t="s">
        <v>170</v>
      </c>
      <c r="B8" s="202">
        <v>7</v>
      </c>
      <c r="C8" s="206">
        <v>6</v>
      </c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ht="24" x14ac:dyDescent="0.3">
      <c r="A9" s="204" t="s">
        <v>171</v>
      </c>
      <c r="B9" s="202">
        <v>8</v>
      </c>
      <c r="C9" s="206">
        <v>7</v>
      </c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ht="24" x14ac:dyDescent="0.3">
      <c r="A10" s="204" t="s">
        <v>172</v>
      </c>
      <c r="B10" s="202">
        <v>9</v>
      </c>
      <c r="C10" s="206">
        <v>8</v>
      </c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ht="24" x14ac:dyDescent="0.3">
      <c r="A11" s="204" t="s">
        <v>173</v>
      </c>
      <c r="B11" s="202">
        <v>10</v>
      </c>
      <c r="C11" s="206">
        <v>9</v>
      </c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ht="24" x14ac:dyDescent="0.3">
      <c r="A12" s="204" t="s">
        <v>174</v>
      </c>
      <c r="B12" s="202">
        <v>11</v>
      </c>
      <c r="C12" s="206">
        <v>10</v>
      </c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ht="24" x14ac:dyDescent="0.3">
      <c r="A13" s="204" t="s">
        <v>175</v>
      </c>
      <c r="B13" s="202">
        <v>12</v>
      </c>
      <c r="C13" s="206">
        <v>11</v>
      </c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ht="24" x14ac:dyDescent="0.3">
      <c r="A14" s="204" t="s">
        <v>176</v>
      </c>
      <c r="B14" s="202">
        <v>13</v>
      </c>
      <c r="C14" s="206">
        <v>12</v>
      </c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ht="24" x14ac:dyDescent="0.3">
      <c r="A15" s="204" t="s">
        <v>177</v>
      </c>
      <c r="B15" s="202">
        <v>14</v>
      </c>
      <c r="C15" s="206">
        <v>13</v>
      </c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ht="24" x14ac:dyDescent="0.3">
      <c r="A16" s="204" t="s">
        <v>178</v>
      </c>
      <c r="B16" s="202">
        <v>15</v>
      </c>
      <c r="C16" s="206">
        <v>14</v>
      </c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ht="24" x14ac:dyDescent="0.3">
      <c r="A17" s="204" t="s">
        <v>179</v>
      </c>
      <c r="B17" s="202">
        <v>16</v>
      </c>
      <c r="C17" s="206">
        <v>15</v>
      </c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ht="24" x14ac:dyDescent="0.3">
      <c r="A18" s="204" t="s">
        <v>180</v>
      </c>
      <c r="B18" s="202">
        <v>17</v>
      </c>
      <c r="C18" s="206">
        <v>16</v>
      </c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ht="25" thickBot="1" x14ac:dyDescent="0.35">
      <c r="A19" s="205" t="s">
        <v>181</v>
      </c>
      <c r="B19" s="203">
        <v>18</v>
      </c>
      <c r="C19" s="207">
        <v>17</v>
      </c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4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11.5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182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183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183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5" thickBot="1" x14ac:dyDescent="0.35">
      <c r="A5" s="205" t="s">
        <v>184</v>
      </c>
      <c r="B5" s="203">
        <v>4</v>
      </c>
      <c r="C5" s="207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x14ac:dyDescent="0.2">
      <c r="A6" s="147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x14ac:dyDescent="0.2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x14ac:dyDescent="0.2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x14ac:dyDescent="0.2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x14ac:dyDescent="0.2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x14ac:dyDescent="0.2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5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11.5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185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186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187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188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189</v>
      </c>
      <c r="B6" s="202">
        <v>5</v>
      </c>
      <c r="C6" s="206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4" x14ac:dyDescent="0.3">
      <c r="A7" s="204" t="s">
        <v>190</v>
      </c>
      <c r="B7" s="202">
        <v>6</v>
      </c>
      <c r="C7" s="206">
        <v>6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ht="24" x14ac:dyDescent="0.3">
      <c r="A8" s="204" t="s">
        <v>191</v>
      </c>
      <c r="B8" s="202">
        <v>7</v>
      </c>
      <c r="C8" s="206">
        <v>7</v>
      </c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ht="24" x14ac:dyDescent="0.3">
      <c r="A9" s="204" t="s">
        <v>192</v>
      </c>
      <c r="B9" s="202">
        <v>8</v>
      </c>
      <c r="C9" s="206">
        <v>8</v>
      </c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ht="24" x14ac:dyDescent="0.3">
      <c r="A10" s="204" t="s">
        <v>193</v>
      </c>
      <c r="B10" s="202">
        <v>9</v>
      </c>
      <c r="C10" s="206">
        <v>9</v>
      </c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ht="24" x14ac:dyDescent="0.3">
      <c r="A11" s="204" t="s">
        <v>194</v>
      </c>
      <c r="B11" s="202">
        <v>10</v>
      </c>
      <c r="C11" s="206">
        <v>10</v>
      </c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ht="24" x14ac:dyDescent="0.3">
      <c r="A12" s="204" t="s">
        <v>195</v>
      </c>
      <c r="B12" s="202">
        <v>11</v>
      </c>
      <c r="C12" s="206">
        <v>11</v>
      </c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ht="24" x14ac:dyDescent="0.3">
      <c r="A13" s="204" t="s">
        <v>196</v>
      </c>
      <c r="B13" s="202">
        <v>12</v>
      </c>
      <c r="C13" s="206">
        <v>12</v>
      </c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ht="24" x14ac:dyDescent="0.3">
      <c r="A14" s="204" t="s">
        <v>191</v>
      </c>
      <c r="B14" s="202">
        <v>13</v>
      </c>
      <c r="C14" s="206">
        <v>13</v>
      </c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ht="24" x14ac:dyDescent="0.3">
      <c r="A15" s="204" t="s">
        <v>197</v>
      </c>
      <c r="B15" s="202">
        <v>14</v>
      </c>
      <c r="C15" s="206">
        <v>14</v>
      </c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ht="24" x14ac:dyDescent="0.3">
      <c r="A16" s="204" t="s">
        <v>195</v>
      </c>
      <c r="B16" s="202">
        <v>15</v>
      </c>
      <c r="C16" s="206">
        <v>15</v>
      </c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ht="24" x14ac:dyDescent="0.3">
      <c r="A17" s="204" t="s">
        <v>198</v>
      </c>
      <c r="B17" s="202">
        <v>16</v>
      </c>
      <c r="C17" s="206">
        <v>16</v>
      </c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ht="24" x14ac:dyDescent="0.3">
      <c r="A18" s="204" t="s">
        <v>191</v>
      </c>
      <c r="B18" s="202">
        <v>17</v>
      </c>
      <c r="C18" s="206">
        <v>17</v>
      </c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ht="24" x14ac:dyDescent="0.3">
      <c r="A19" s="204" t="s">
        <v>199</v>
      </c>
      <c r="B19" s="202">
        <v>18</v>
      </c>
      <c r="C19" s="206">
        <v>18</v>
      </c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ht="24" x14ac:dyDescent="0.3">
      <c r="A20" s="204" t="s">
        <v>200</v>
      </c>
      <c r="B20" s="202">
        <v>19</v>
      </c>
      <c r="C20" s="206">
        <v>19</v>
      </c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ht="24" x14ac:dyDescent="0.3">
      <c r="A21" s="204" t="s">
        <v>195</v>
      </c>
      <c r="B21" s="202">
        <v>20</v>
      </c>
      <c r="C21" s="206">
        <v>20</v>
      </c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ht="24" x14ac:dyDescent="0.3">
      <c r="A22" s="204" t="s">
        <v>201</v>
      </c>
      <c r="B22" s="202">
        <v>21</v>
      </c>
      <c r="C22" s="206">
        <v>21</v>
      </c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ht="24" x14ac:dyDescent="0.3">
      <c r="A23" s="204" t="s">
        <v>202</v>
      </c>
      <c r="B23" s="202">
        <v>22</v>
      </c>
      <c r="C23" s="206">
        <v>22</v>
      </c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ht="24" x14ac:dyDescent="0.3">
      <c r="A24" s="204" t="s">
        <v>203</v>
      </c>
      <c r="B24" s="202">
        <v>23</v>
      </c>
      <c r="C24" s="206">
        <v>23</v>
      </c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ht="24" x14ac:dyDescent="0.3">
      <c r="A25" s="204" t="s">
        <v>195</v>
      </c>
      <c r="B25" s="202">
        <v>24</v>
      </c>
      <c r="C25" s="206">
        <v>24</v>
      </c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ht="24" x14ac:dyDescent="0.3">
      <c r="A26" s="204" t="s">
        <v>204</v>
      </c>
      <c r="B26" s="202">
        <v>25</v>
      </c>
      <c r="C26" s="206">
        <v>25</v>
      </c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ht="24" x14ac:dyDescent="0.3">
      <c r="A27" s="204" t="s">
        <v>202</v>
      </c>
      <c r="B27" s="202">
        <v>26</v>
      </c>
      <c r="C27" s="206">
        <v>26</v>
      </c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ht="24" x14ac:dyDescent="0.3">
      <c r="A28" s="204" t="s">
        <v>205</v>
      </c>
      <c r="B28" s="202">
        <v>27</v>
      </c>
      <c r="C28" s="206">
        <v>27</v>
      </c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ht="24" x14ac:dyDescent="0.3">
      <c r="A29" s="204" t="s">
        <v>195</v>
      </c>
      <c r="B29" s="202">
        <v>28</v>
      </c>
      <c r="C29" s="206">
        <v>28</v>
      </c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ht="24" x14ac:dyDescent="0.3">
      <c r="A30" s="204" t="s">
        <v>206</v>
      </c>
      <c r="B30" s="202">
        <v>29</v>
      </c>
      <c r="C30" s="206">
        <v>29</v>
      </c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ht="24" x14ac:dyDescent="0.3">
      <c r="A31" s="204" t="s">
        <v>207</v>
      </c>
      <c r="B31" s="202">
        <v>30</v>
      </c>
      <c r="C31" s="206">
        <v>30</v>
      </c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ht="24" x14ac:dyDescent="0.3">
      <c r="A32" s="204" t="s">
        <v>208</v>
      </c>
      <c r="B32" s="202">
        <v>31</v>
      </c>
      <c r="C32" s="206">
        <v>31</v>
      </c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ht="24" x14ac:dyDescent="0.3">
      <c r="A33" s="204" t="s">
        <v>195</v>
      </c>
      <c r="B33" s="202">
        <v>32</v>
      </c>
      <c r="C33" s="206">
        <v>32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ht="24" x14ac:dyDescent="0.3">
      <c r="A34" s="204" t="s">
        <v>209</v>
      </c>
      <c r="B34" s="202">
        <v>33</v>
      </c>
      <c r="C34" s="206">
        <v>33</v>
      </c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ht="24" x14ac:dyDescent="0.3">
      <c r="A35" s="204" t="s">
        <v>210</v>
      </c>
      <c r="B35" s="202">
        <v>34</v>
      </c>
      <c r="C35" s="206">
        <v>34</v>
      </c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ht="24" x14ac:dyDescent="0.3">
      <c r="A36" s="204" t="s">
        <v>202</v>
      </c>
      <c r="B36" s="202">
        <v>35</v>
      </c>
      <c r="C36" s="206">
        <v>35</v>
      </c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ht="24" x14ac:dyDescent="0.3">
      <c r="A37" s="204" t="s">
        <v>205</v>
      </c>
      <c r="B37" s="202">
        <v>36</v>
      </c>
      <c r="C37" s="206">
        <v>36</v>
      </c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ht="24" x14ac:dyDescent="0.3">
      <c r="A38" s="204" t="s">
        <v>195</v>
      </c>
      <c r="B38" s="202">
        <v>37</v>
      </c>
      <c r="C38" s="206">
        <v>37</v>
      </c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ht="24" x14ac:dyDescent="0.3">
      <c r="A39" s="204" t="s">
        <v>211</v>
      </c>
      <c r="B39" s="202">
        <v>38</v>
      </c>
      <c r="C39" s="206">
        <v>38</v>
      </c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ht="24" x14ac:dyDescent="0.3">
      <c r="A40" s="204" t="s">
        <v>191</v>
      </c>
      <c r="B40" s="202">
        <v>39</v>
      </c>
      <c r="C40" s="206">
        <v>39</v>
      </c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ht="24" x14ac:dyDescent="0.3">
      <c r="A41" s="204" t="s">
        <v>212</v>
      </c>
      <c r="B41" s="202">
        <v>40</v>
      </c>
      <c r="C41" s="206">
        <v>40</v>
      </c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ht="24" x14ac:dyDescent="0.3">
      <c r="A42" s="204" t="s">
        <v>213</v>
      </c>
      <c r="B42" s="202">
        <v>41</v>
      </c>
      <c r="C42" s="206">
        <v>41</v>
      </c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ht="24" x14ac:dyDescent="0.3">
      <c r="A43" s="204" t="s">
        <v>195</v>
      </c>
      <c r="B43" s="202">
        <v>42</v>
      </c>
      <c r="C43" s="206">
        <v>42</v>
      </c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ht="24" x14ac:dyDescent="0.3">
      <c r="A44" s="204" t="s">
        <v>214</v>
      </c>
      <c r="B44" s="202">
        <v>43</v>
      </c>
      <c r="C44" s="206">
        <v>43</v>
      </c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ht="24" x14ac:dyDescent="0.3">
      <c r="A45" s="204" t="s">
        <v>191</v>
      </c>
      <c r="B45" s="202">
        <v>44</v>
      </c>
      <c r="C45" s="206">
        <v>44</v>
      </c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ht="24" x14ac:dyDescent="0.3">
      <c r="A46" s="204" t="s">
        <v>215</v>
      </c>
      <c r="B46" s="202">
        <v>45</v>
      </c>
      <c r="C46" s="206">
        <v>45</v>
      </c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ht="24" x14ac:dyDescent="0.3">
      <c r="A47" s="204" t="s">
        <v>216</v>
      </c>
      <c r="B47" s="202">
        <v>46</v>
      </c>
      <c r="C47" s="206">
        <v>46</v>
      </c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ht="24" x14ac:dyDescent="0.3">
      <c r="A48" s="204" t="s">
        <v>217</v>
      </c>
      <c r="B48" s="202">
        <v>47</v>
      </c>
      <c r="C48" s="206">
        <v>47</v>
      </c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ht="24" x14ac:dyDescent="0.3">
      <c r="A49" s="204" t="s">
        <v>218</v>
      </c>
      <c r="B49" s="202">
        <v>48</v>
      </c>
      <c r="C49" s="206">
        <v>48</v>
      </c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ht="24" x14ac:dyDescent="0.3">
      <c r="A50" s="204" t="s">
        <v>219</v>
      </c>
      <c r="B50" s="202">
        <v>49</v>
      </c>
      <c r="C50" s="206">
        <v>49</v>
      </c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ht="24" x14ac:dyDescent="0.3">
      <c r="A51" s="204" t="s">
        <v>220</v>
      </c>
      <c r="B51" s="202">
        <v>50</v>
      </c>
      <c r="C51" s="206">
        <v>50</v>
      </c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ht="24" x14ac:dyDescent="0.3">
      <c r="A52" s="204" t="s">
        <v>221</v>
      </c>
      <c r="B52" s="202">
        <v>51</v>
      </c>
      <c r="C52" s="206">
        <v>51</v>
      </c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ht="24" x14ac:dyDescent="0.3">
      <c r="A53" s="204" t="s">
        <v>222</v>
      </c>
      <c r="B53" s="202">
        <v>52</v>
      </c>
      <c r="C53" s="206">
        <v>52</v>
      </c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ht="24" x14ac:dyDescent="0.3">
      <c r="A54" s="204" t="s">
        <v>223</v>
      </c>
      <c r="B54" s="202">
        <v>53</v>
      </c>
      <c r="C54" s="206">
        <v>53</v>
      </c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ht="24" x14ac:dyDescent="0.3">
      <c r="A55" s="204" t="s">
        <v>224</v>
      </c>
      <c r="B55" s="202">
        <v>54</v>
      </c>
      <c r="C55" s="206">
        <v>54</v>
      </c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ht="24" x14ac:dyDescent="0.3">
      <c r="A56" s="204" t="s">
        <v>225</v>
      </c>
      <c r="B56" s="202">
        <v>55</v>
      </c>
      <c r="C56" s="206">
        <v>55</v>
      </c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ht="24" x14ac:dyDescent="0.3">
      <c r="A57" s="204" t="s">
        <v>194</v>
      </c>
      <c r="B57" s="202">
        <v>56</v>
      </c>
      <c r="C57" s="206">
        <v>56</v>
      </c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ht="24" x14ac:dyDescent="0.3">
      <c r="A58" s="204" t="s">
        <v>195</v>
      </c>
      <c r="B58" s="202">
        <v>57</v>
      </c>
      <c r="C58" s="206">
        <v>57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ht="24" x14ac:dyDescent="0.3">
      <c r="A59" s="204" t="s">
        <v>226</v>
      </c>
      <c r="B59" s="202">
        <v>58</v>
      </c>
      <c r="C59" s="206">
        <v>58</v>
      </c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ht="24" x14ac:dyDescent="0.3">
      <c r="A60" s="204" t="s">
        <v>191</v>
      </c>
      <c r="B60" s="202">
        <v>59</v>
      </c>
      <c r="C60" s="206">
        <v>59</v>
      </c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ht="24" x14ac:dyDescent="0.3">
      <c r="A61" s="204" t="s">
        <v>227</v>
      </c>
      <c r="B61" s="202">
        <v>60</v>
      </c>
      <c r="C61" s="206">
        <v>60</v>
      </c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ht="24" x14ac:dyDescent="0.3">
      <c r="A62" s="204" t="s">
        <v>228</v>
      </c>
      <c r="B62" s="202">
        <v>61</v>
      </c>
      <c r="C62" s="206">
        <v>61</v>
      </c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ht="24" x14ac:dyDescent="0.3">
      <c r="A63" s="204" t="s">
        <v>195</v>
      </c>
      <c r="B63" s="202">
        <v>62</v>
      </c>
      <c r="C63" s="206">
        <v>62</v>
      </c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ht="24" x14ac:dyDescent="0.3">
      <c r="A64" s="204" t="s">
        <v>229</v>
      </c>
      <c r="B64" s="202">
        <v>63</v>
      </c>
      <c r="C64" s="206">
        <v>63</v>
      </c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ht="24" x14ac:dyDescent="0.3">
      <c r="A65" s="204" t="s">
        <v>230</v>
      </c>
      <c r="B65" s="202">
        <v>64</v>
      </c>
      <c r="C65" s="206">
        <v>64</v>
      </c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ht="24" x14ac:dyDescent="0.3">
      <c r="A66" s="204" t="s">
        <v>191</v>
      </c>
      <c r="B66" s="202">
        <v>65</v>
      </c>
      <c r="C66" s="206">
        <v>65</v>
      </c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ht="24" x14ac:dyDescent="0.3">
      <c r="A67" s="204" t="s">
        <v>231</v>
      </c>
      <c r="B67" s="202">
        <v>66</v>
      </c>
      <c r="C67" s="206">
        <v>66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ht="24" x14ac:dyDescent="0.3">
      <c r="A68" s="204" t="s">
        <v>232</v>
      </c>
      <c r="B68" s="202">
        <v>67</v>
      </c>
      <c r="C68" s="206">
        <v>67</v>
      </c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ht="24" x14ac:dyDescent="0.3">
      <c r="A69" s="204" t="s">
        <v>233</v>
      </c>
      <c r="B69" s="202">
        <v>68</v>
      </c>
      <c r="C69" s="206">
        <v>68</v>
      </c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ht="24" x14ac:dyDescent="0.3">
      <c r="A70" s="204" t="s">
        <v>195</v>
      </c>
      <c r="B70" s="202">
        <v>69</v>
      </c>
      <c r="C70" s="206">
        <v>69</v>
      </c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ht="24" x14ac:dyDescent="0.3">
      <c r="A71" s="204" t="s">
        <v>234</v>
      </c>
      <c r="B71" s="202">
        <v>70</v>
      </c>
      <c r="C71" s="206">
        <v>70</v>
      </c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ht="24" x14ac:dyDescent="0.3">
      <c r="A72" s="204" t="s">
        <v>202</v>
      </c>
      <c r="B72" s="202">
        <v>71</v>
      </c>
      <c r="C72" s="206">
        <v>71</v>
      </c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ht="24" x14ac:dyDescent="0.3">
      <c r="A73" s="204" t="s">
        <v>205</v>
      </c>
      <c r="B73" s="202">
        <v>72</v>
      </c>
      <c r="C73" s="206">
        <v>72</v>
      </c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ht="24" x14ac:dyDescent="0.3">
      <c r="A74" s="204" t="s">
        <v>195</v>
      </c>
      <c r="B74" s="202">
        <v>73</v>
      </c>
      <c r="C74" s="206">
        <v>73</v>
      </c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ht="24" x14ac:dyDescent="0.3">
      <c r="A75" s="204" t="s">
        <v>235</v>
      </c>
      <c r="B75" s="202">
        <v>74</v>
      </c>
      <c r="C75" s="206">
        <v>74</v>
      </c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ht="24" x14ac:dyDescent="0.3">
      <c r="A76" s="204" t="s">
        <v>191</v>
      </c>
      <c r="B76" s="202">
        <v>75</v>
      </c>
      <c r="C76" s="206">
        <v>75</v>
      </c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ht="24" x14ac:dyDescent="0.3">
      <c r="A77" s="204" t="s">
        <v>236</v>
      </c>
      <c r="B77" s="202">
        <v>76</v>
      </c>
      <c r="C77" s="206">
        <v>76</v>
      </c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ht="24" x14ac:dyDescent="0.3">
      <c r="A78" s="204" t="s">
        <v>237</v>
      </c>
      <c r="B78" s="202">
        <v>77</v>
      </c>
      <c r="C78" s="206">
        <v>77</v>
      </c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ht="24" x14ac:dyDescent="0.3">
      <c r="A79" s="204" t="s">
        <v>195</v>
      </c>
      <c r="B79" s="202">
        <v>78</v>
      </c>
      <c r="C79" s="206">
        <v>78</v>
      </c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ht="24" x14ac:dyDescent="0.3">
      <c r="A80" s="204" t="s">
        <v>238</v>
      </c>
      <c r="B80" s="202">
        <v>79</v>
      </c>
      <c r="C80" s="206">
        <v>79</v>
      </c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ht="24" x14ac:dyDescent="0.3">
      <c r="A81" s="204" t="s">
        <v>191</v>
      </c>
      <c r="B81" s="202">
        <v>80</v>
      </c>
      <c r="C81" s="206">
        <v>80</v>
      </c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ht="24" x14ac:dyDescent="0.3">
      <c r="A82" s="204" t="s">
        <v>239</v>
      </c>
      <c r="B82" s="202">
        <v>81</v>
      </c>
      <c r="C82" s="206">
        <v>81</v>
      </c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ht="24" x14ac:dyDescent="0.3">
      <c r="A83" s="204" t="s">
        <v>240</v>
      </c>
      <c r="B83" s="202">
        <v>82</v>
      </c>
      <c r="C83" s="206">
        <v>82</v>
      </c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ht="24" x14ac:dyDescent="0.3">
      <c r="A84" s="204" t="s">
        <v>241</v>
      </c>
      <c r="B84" s="202">
        <v>83</v>
      </c>
      <c r="C84" s="206">
        <v>83</v>
      </c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ht="25" thickBot="1" x14ac:dyDescent="0.35">
      <c r="A85" s="205" t="s">
        <v>195</v>
      </c>
      <c r="B85" s="203">
        <v>84</v>
      </c>
      <c r="C85" s="207">
        <v>84</v>
      </c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6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11.5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185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186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187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188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242</v>
      </c>
      <c r="B6" s="202">
        <v>5</v>
      </c>
      <c r="C6" s="206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4" x14ac:dyDescent="0.3">
      <c r="A7" s="204" t="s">
        <v>243</v>
      </c>
      <c r="B7" s="202">
        <v>6</v>
      </c>
      <c r="C7" s="206">
        <v>6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s="1" customFormat="1" ht="24" x14ac:dyDescent="0.3">
      <c r="A8" s="204" t="s">
        <v>479</v>
      </c>
      <c r="B8" s="202">
        <v>7</v>
      </c>
      <c r="C8" s="206">
        <v>7</v>
      </c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 spans="1:26" s="1" customFormat="1" ht="24" x14ac:dyDescent="0.3">
      <c r="A9" s="204" t="s">
        <v>480</v>
      </c>
      <c r="B9" s="202">
        <v>8</v>
      </c>
      <c r="C9" s="206">
        <v>8</v>
      </c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 spans="1:26" ht="24" x14ac:dyDescent="0.3">
      <c r="A10" s="204" t="s">
        <v>481</v>
      </c>
      <c r="B10" s="202">
        <v>9</v>
      </c>
      <c r="C10" s="206">
        <v>9</v>
      </c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ht="24" x14ac:dyDescent="0.3">
      <c r="A11" s="204" t="s">
        <v>482</v>
      </c>
      <c r="B11" s="202">
        <v>10</v>
      </c>
      <c r="C11" s="206">
        <v>10</v>
      </c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ht="24" x14ac:dyDescent="0.3">
      <c r="A12" s="204" t="s">
        <v>483</v>
      </c>
      <c r="B12" s="202">
        <v>11</v>
      </c>
      <c r="C12" s="206">
        <v>11</v>
      </c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ht="24" x14ac:dyDescent="0.3">
      <c r="A13" s="204" t="s">
        <v>484</v>
      </c>
      <c r="B13" s="202">
        <v>12</v>
      </c>
      <c r="C13" s="206">
        <v>12</v>
      </c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ht="24" x14ac:dyDescent="0.3">
      <c r="A14" s="204" t="s">
        <v>485</v>
      </c>
      <c r="B14" s="202">
        <v>13</v>
      </c>
      <c r="C14" s="206">
        <v>13</v>
      </c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ht="24" x14ac:dyDescent="0.3">
      <c r="A15" s="204" t="s">
        <v>486</v>
      </c>
      <c r="B15" s="202">
        <v>14</v>
      </c>
      <c r="C15" s="206">
        <v>14</v>
      </c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ht="24" x14ac:dyDescent="0.3">
      <c r="A16" s="204" t="s">
        <v>487</v>
      </c>
      <c r="B16" s="202">
        <v>15</v>
      </c>
      <c r="C16" s="206">
        <v>15</v>
      </c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ht="24" x14ac:dyDescent="0.3">
      <c r="A17" s="204" t="s">
        <v>488</v>
      </c>
      <c r="B17" s="202">
        <v>16</v>
      </c>
      <c r="C17" s="206">
        <v>16</v>
      </c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ht="24" x14ac:dyDescent="0.3">
      <c r="A18" s="204" t="s">
        <v>484</v>
      </c>
      <c r="B18" s="202">
        <v>17</v>
      </c>
      <c r="C18" s="206">
        <v>17</v>
      </c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ht="24" x14ac:dyDescent="0.3">
      <c r="A19" s="204" t="s">
        <v>489</v>
      </c>
      <c r="B19" s="202">
        <v>18</v>
      </c>
      <c r="C19" s="206">
        <v>18</v>
      </c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ht="24" x14ac:dyDescent="0.3">
      <c r="A20" s="204" t="s">
        <v>490</v>
      </c>
      <c r="B20" s="202">
        <v>19</v>
      </c>
      <c r="C20" s="206">
        <v>19</v>
      </c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ht="24" x14ac:dyDescent="0.3">
      <c r="A21" s="204" t="s">
        <v>491</v>
      </c>
      <c r="B21" s="202">
        <v>20</v>
      </c>
      <c r="C21" s="206">
        <v>20</v>
      </c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ht="24" x14ac:dyDescent="0.3">
      <c r="A22" s="204" t="s">
        <v>492</v>
      </c>
      <c r="B22" s="202">
        <v>21</v>
      </c>
      <c r="C22" s="206">
        <v>21</v>
      </c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ht="24" x14ac:dyDescent="0.3">
      <c r="A23" s="204" t="s">
        <v>493</v>
      </c>
      <c r="B23" s="202">
        <v>22</v>
      </c>
      <c r="C23" s="206">
        <v>22</v>
      </c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ht="24" x14ac:dyDescent="0.3">
      <c r="A24" s="204" t="s">
        <v>494</v>
      </c>
      <c r="B24" s="202">
        <v>23</v>
      </c>
      <c r="C24" s="206">
        <v>23</v>
      </c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ht="24" x14ac:dyDescent="0.3">
      <c r="A25" s="204" t="s">
        <v>484</v>
      </c>
      <c r="B25" s="202">
        <v>24</v>
      </c>
      <c r="C25" s="206">
        <v>24</v>
      </c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ht="24" x14ac:dyDescent="0.3">
      <c r="A26" s="204" t="s">
        <v>495</v>
      </c>
      <c r="B26" s="202">
        <v>25</v>
      </c>
      <c r="C26" s="206">
        <v>25</v>
      </c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ht="24" x14ac:dyDescent="0.3">
      <c r="A27" s="204" t="s">
        <v>480</v>
      </c>
      <c r="B27" s="202">
        <v>26</v>
      </c>
      <c r="C27" s="206">
        <v>26</v>
      </c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ht="24" x14ac:dyDescent="0.3">
      <c r="A28" s="204" t="s">
        <v>496</v>
      </c>
      <c r="B28" s="202">
        <v>27</v>
      </c>
      <c r="C28" s="206">
        <v>27</v>
      </c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ht="24" x14ac:dyDescent="0.3">
      <c r="A29" s="204" t="s">
        <v>497</v>
      </c>
      <c r="B29" s="202">
        <v>28</v>
      </c>
      <c r="C29" s="206">
        <v>28</v>
      </c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ht="24" x14ac:dyDescent="0.3">
      <c r="A30" s="204" t="s">
        <v>498</v>
      </c>
      <c r="B30" s="202">
        <v>29</v>
      </c>
      <c r="C30" s="206">
        <v>29</v>
      </c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ht="24" x14ac:dyDescent="0.3">
      <c r="A31" s="204" t="s">
        <v>499</v>
      </c>
      <c r="B31" s="202">
        <v>30</v>
      </c>
      <c r="C31" s="206">
        <v>30</v>
      </c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ht="24" x14ac:dyDescent="0.3">
      <c r="A32" s="204" t="s">
        <v>484</v>
      </c>
      <c r="B32" s="202">
        <v>31</v>
      </c>
      <c r="C32" s="206">
        <v>31</v>
      </c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ht="24" x14ac:dyDescent="0.3">
      <c r="A33" s="204" t="s">
        <v>500</v>
      </c>
      <c r="B33" s="202">
        <v>32</v>
      </c>
      <c r="C33" s="206">
        <v>32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ht="24" x14ac:dyDescent="0.3">
      <c r="A34" s="204" t="s">
        <v>501</v>
      </c>
      <c r="B34" s="202">
        <v>33</v>
      </c>
      <c r="C34" s="206">
        <v>33</v>
      </c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ht="24" x14ac:dyDescent="0.3">
      <c r="A35" s="204" t="s">
        <v>502</v>
      </c>
      <c r="B35" s="202">
        <v>34</v>
      </c>
      <c r="C35" s="206">
        <v>34</v>
      </c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ht="24" x14ac:dyDescent="0.3">
      <c r="A36" s="204" t="s">
        <v>503</v>
      </c>
      <c r="B36" s="202">
        <v>35</v>
      </c>
      <c r="C36" s="206">
        <v>35</v>
      </c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ht="24" x14ac:dyDescent="0.3">
      <c r="A37" s="204" t="s">
        <v>484</v>
      </c>
      <c r="B37" s="202">
        <v>36</v>
      </c>
      <c r="C37" s="206">
        <v>36</v>
      </c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ht="24" x14ac:dyDescent="0.3">
      <c r="A38" s="204" t="s">
        <v>504</v>
      </c>
      <c r="B38" s="202">
        <v>37</v>
      </c>
      <c r="C38" s="206">
        <v>37</v>
      </c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ht="24" x14ac:dyDescent="0.3">
      <c r="A39" s="204" t="s">
        <v>501</v>
      </c>
      <c r="B39" s="202">
        <v>38</v>
      </c>
      <c r="C39" s="206">
        <v>38</v>
      </c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ht="24" x14ac:dyDescent="0.3">
      <c r="A40" s="204" t="s">
        <v>505</v>
      </c>
      <c r="B40" s="202">
        <v>39</v>
      </c>
      <c r="C40" s="206">
        <v>39</v>
      </c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ht="24" x14ac:dyDescent="0.3">
      <c r="A41" s="204" t="s">
        <v>484</v>
      </c>
      <c r="B41" s="202">
        <v>40</v>
      </c>
      <c r="C41" s="206">
        <v>40</v>
      </c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ht="24" x14ac:dyDescent="0.3">
      <c r="A42" s="204" t="s">
        <v>244</v>
      </c>
      <c r="B42" s="202">
        <v>41</v>
      </c>
      <c r="C42" s="206">
        <v>41</v>
      </c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ht="24" x14ac:dyDescent="0.3">
      <c r="A43" s="204" t="s">
        <v>506</v>
      </c>
      <c r="B43" s="202">
        <v>42</v>
      </c>
      <c r="C43" s="206">
        <v>42</v>
      </c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ht="24" x14ac:dyDescent="0.3">
      <c r="A44" s="204" t="s">
        <v>480</v>
      </c>
      <c r="B44" s="202">
        <v>43</v>
      </c>
      <c r="C44" s="206">
        <v>43</v>
      </c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ht="24" x14ac:dyDescent="0.3">
      <c r="A45" s="204" t="s">
        <v>507</v>
      </c>
      <c r="B45" s="202">
        <v>44</v>
      </c>
      <c r="C45" s="206">
        <v>44</v>
      </c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ht="24" x14ac:dyDescent="0.3">
      <c r="A46" s="204" t="s">
        <v>508</v>
      </c>
      <c r="B46" s="202">
        <v>45</v>
      </c>
      <c r="C46" s="206">
        <v>45</v>
      </c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ht="24" x14ac:dyDescent="0.3">
      <c r="A47" s="204" t="s">
        <v>484</v>
      </c>
      <c r="B47" s="202">
        <v>46</v>
      </c>
      <c r="C47" s="206">
        <v>46</v>
      </c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ht="24" x14ac:dyDescent="0.3">
      <c r="A48" s="204" t="s">
        <v>509</v>
      </c>
      <c r="B48" s="202">
        <v>47</v>
      </c>
      <c r="C48" s="206">
        <v>47</v>
      </c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ht="24" x14ac:dyDescent="0.3">
      <c r="A49" s="204" t="s">
        <v>607</v>
      </c>
      <c r="B49" s="202">
        <v>48</v>
      </c>
      <c r="C49" s="206">
        <v>48</v>
      </c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ht="24" x14ac:dyDescent="0.3">
      <c r="A50" s="204" t="s">
        <v>606</v>
      </c>
      <c r="B50" s="202">
        <v>49</v>
      </c>
      <c r="C50" s="206">
        <v>49</v>
      </c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ht="24" x14ac:dyDescent="0.3">
      <c r="A51" s="204" t="s">
        <v>510</v>
      </c>
      <c r="B51" s="202">
        <v>50</v>
      </c>
      <c r="C51" s="206">
        <v>50</v>
      </c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ht="24" x14ac:dyDescent="0.3">
      <c r="A52" s="204" t="s">
        <v>511</v>
      </c>
      <c r="B52" s="202">
        <v>51</v>
      </c>
      <c r="C52" s="206">
        <v>51</v>
      </c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ht="24" x14ac:dyDescent="0.3">
      <c r="A53" s="204" t="s">
        <v>512</v>
      </c>
      <c r="B53" s="202">
        <v>52</v>
      </c>
      <c r="C53" s="206">
        <v>52</v>
      </c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ht="24" x14ac:dyDescent="0.3">
      <c r="A54" s="204" t="s">
        <v>513</v>
      </c>
      <c r="B54" s="202">
        <v>53</v>
      </c>
      <c r="C54" s="206">
        <v>53</v>
      </c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ht="24" x14ac:dyDescent="0.3">
      <c r="A55" s="204" t="s">
        <v>480</v>
      </c>
      <c r="B55" s="202">
        <v>54</v>
      </c>
      <c r="C55" s="206">
        <v>54</v>
      </c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ht="24" x14ac:dyDescent="0.3">
      <c r="A56" s="204" t="s">
        <v>514</v>
      </c>
      <c r="B56" s="202">
        <v>55</v>
      </c>
      <c r="C56" s="206">
        <v>55</v>
      </c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ht="24" x14ac:dyDescent="0.3">
      <c r="A57" s="204" t="s">
        <v>515</v>
      </c>
      <c r="B57" s="202">
        <v>56</v>
      </c>
      <c r="C57" s="206">
        <v>56</v>
      </c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ht="24" x14ac:dyDescent="0.3">
      <c r="A58" s="204" t="s">
        <v>483</v>
      </c>
      <c r="B58" s="202">
        <v>57</v>
      </c>
      <c r="C58" s="206">
        <v>57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ht="24" x14ac:dyDescent="0.3">
      <c r="A59" s="204" t="s">
        <v>484</v>
      </c>
      <c r="B59" s="202">
        <v>58</v>
      </c>
      <c r="C59" s="206">
        <v>58</v>
      </c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ht="24" x14ac:dyDescent="0.3">
      <c r="A60" s="204" t="s">
        <v>516</v>
      </c>
      <c r="B60" s="202">
        <v>59</v>
      </c>
      <c r="C60" s="206">
        <v>59</v>
      </c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ht="24" x14ac:dyDescent="0.3">
      <c r="A61" s="204" t="s">
        <v>480</v>
      </c>
      <c r="B61" s="202">
        <v>60</v>
      </c>
      <c r="C61" s="206">
        <v>60</v>
      </c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ht="24" x14ac:dyDescent="0.3">
      <c r="A62" s="204" t="s">
        <v>517</v>
      </c>
      <c r="B62" s="202">
        <v>61</v>
      </c>
      <c r="C62" s="206">
        <v>61</v>
      </c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ht="24" x14ac:dyDescent="0.3">
      <c r="A63" s="204" t="s">
        <v>483</v>
      </c>
      <c r="B63" s="202">
        <v>62</v>
      </c>
      <c r="C63" s="206">
        <v>62</v>
      </c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ht="24" x14ac:dyDescent="0.3">
      <c r="A64" s="204" t="s">
        <v>484</v>
      </c>
      <c r="B64" s="202">
        <v>63</v>
      </c>
      <c r="C64" s="206">
        <v>63</v>
      </c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ht="24" x14ac:dyDescent="0.3">
      <c r="A65" s="204" t="s">
        <v>518</v>
      </c>
      <c r="B65" s="202">
        <v>64</v>
      </c>
      <c r="C65" s="206">
        <v>64</v>
      </c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ht="24" x14ac:dyDescent="0.3">
      <c r="A66" s="204" t="s">
        <v>480</v>
      </c>
      <c r="B66" s="202">
        <v>65</v>
      </c>
      <c r="C66" s="206">
        <v>65</v>
      </c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ht="24" x14ac:dyDescent="0.3">
      <c r="A67" s="204" t="s">
        <v>517</v>
      </c>
      <c r="B67" s="202">
        <v>66</v>
      </c>
      <c r="C67" s="206">
        <v>66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ht="24" x14ac:dyDescent="0.3">
      <c r="A68" s="204" t="s">
        <v>519</v>
      </c>
      <c r="B68" s="202">
        <v>67</v>
      </c>
      <c r="C68" s="206">
        <v>67</v>
      </c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ht="24" x14ac:dyDescent="0.3">
      <c r="A69" s="204" t="s">
        <v>483</v>
      </c>
      <c r="B69" s="202">
        <v>68</v>
      </c>
      <c r="C69" s="206">
        <v>68</v>
      </c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ht="24" x14ac:dyDescent="0.3">
      <c r="A70" s="204" t="s">
        <v>484</v>
      </c>
      <c r="B70" s="202">
        <v>69</v>
      </c>
      <c r="C70" s="206">
        <v>69</v>
      </c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ht="24" x14ac:dyDescent="0.3">
      <c r="A71" s="204" t="s">
        <v>520</v>
      </c>
      <c r="B71" s="202">
        <v>70</v>
      </c>
      <c r="C71" s="206">
        <v>70</v>
      </c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ht="24" x14ac:dyDescent="0.3">
      <c r="A72" s="204" t="s">
        <v>480</v>
      </c>
      <c r="B72" s="202">
        <v>71</v>
      </c>
      <c r="C72" s="206">
        <v>71</v>
      </c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ht="24" x14ac:dyDescent="0.3">
      <c r="A73" s="204" t="s">
        <v>521</v>
      </c>
      <c r="B73" s="202">
        <v>72</v>
      </c>
      <c r="C73" s="206">
        <v>72</v>
      </c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ht="24" x14ac:dyDescent="0.3">
      <c r="A74" s="204" t="s">
        <v>522</v>
      </c>
      <c r="B74" s="202">
        <v>73</v>
      </c>
      <c r="C74" s="206">
        <v>73</v>
      </c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ht="24" x14ac:dyDescent="0.3">
      <c r="A75" s="204" t="s">
        <v>483</v>
      </c>
      <c r="B75" s="202">
        <v>74</v>
      </c>
      <c r="C75" s="206">
        <v>74</v>
      </c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ht="24" x14ac:dyDescent="0.3">
      <c r="A76" s="204" t="s">
        <v>484</v>
      </c>
      <c r="B76" s="202">
        <v>75</v>
      </c>
      <c r="C76" s="206">
        <v>75</v>
      </c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s="2" customFormat="1" ht="24" x14ac:dyDescent="0.3">
      <c r="A77" s="204" t="s">
        <v>523</v>
      </c>
      <c r="B77" s="202">
        <v>76</v>
      </c>
      <c r="C77" s="206">
        <v>76</v>
      </c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 spans="1:26" s="2" customFormat="1" ht="24" x14ac:dyDescent="0.3">
      <c r="A78" s="204" t="s">
        <v>480</v>
      </c>
      <c r="B78" s="202">
        <v>77</v>
      </c>
      <c r="C78" s="206">
        <v>77</v>
      </c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 spans="1:26" s="2" customFormat="1" ht="24" x14ac:dyDescent="0.3">
      <c r="A79" s="204" t="s">
        <v>524</v>
      </c>
      <c r="B79" s="202">
        <v>78</v>
      </c>
      <c r="C79" s="206">
        <v>78</v>
      </c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 spans="1:26" s="2" customFormat="1" ht="24" x14ac:dyDescent="0.3">
      <c r="A80" s="204" t="s">
        <v>525</v>
      </c>
      <c r="B80" s="202">
        <v>79</v>
      </c>
      <c r="C80" s="206">
        <v>79</v>
      </c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 spans="1:26" ht="24" x14ac:dyDescent="0.3">
      <c r="A81" s="204" t="s">
        <v>484</v>
      </c>
      <c r="B81" s="202">
        <v>80</v>
      </c>
      <c r="C81" s="206">
        <v>80</v>
      </c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ht="24" x14ac:dyDescent="0.3">
      <c r="A82" s="204" t="s">
        <v>526</v>
      </c>
      <c r="B82" s="202">
        <v>81</v>
      </c>
      <c r="C82" s="206">
        <v>81</v>
      </c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ht="24" x14ac:dyDescent="0.3">
      <c r="A83" s="204" t="s">
        <v>480</v>
      </c>
      <c r="B83" s="202">
        <v>82</v>
      </c>
      <c r="C83" s="206">
        <v>82</v>
      </c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ht="24" x14ac:dyDescent="0.3">
      <c r="A84" s="204" t="s">
        <v>527</v>
      </c>
      <c r="B84" s="202">
        <v>83</v>
      </c>
      <c r="C84" s="206">
        <v>83</v>
      </c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ht="24" x14ac:dyDescent="0.3">
      <c r="A85" s="204" t="s">
        <v>484</v>
      </c>
      <c r="B85" s="202">
        <v>84</v>
      </c>
      <c r="C85" s="206">
        <v>84</v>
      </c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ht="24" x14ac:dyDescent="0.3">
      <c r="A86" s="204" t="s">
        <v>245</v>
      </c>
      <c r="B86" s="202">
        <v>85</v>
      </c>
      <c r="C86" s="206">
        <v>85</v>
      </c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ht="24" x14ac:dyDescent="0.3">
      <c r="A87" s="204" t="s">
        <v>528</v>
      </c>
      <c r="B87" s="202">
        <v>86</v>
      </c>
      <c r="C87" s="206">
        <v>86</v>
      </c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ht="24" x14ac:dyDescent="0.3">
      <c r="A88" s="204" t="s">
        <v>480</v>
      </c>
      <c r="B88" s="202">
        <v>87</v>
      </c>
      <c r="C88" s="206">
        <v>87</v>
      </c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ht="24" x14ac:dyDescent="0.3">
      <c r="A89" s="204" t="s">
        <v>529</v>
      </c>
      <c r="B89" s="202">
        <v>88</v>
      </c>
      <c r="C89" s="206">
        <v>88</v>
      </c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ht="24" x14ac:dyDescent="0.3">
      <c r="A90" s="204" t="s">
        <v>530</v>
      </c>
      <c r="B90" s="202">
        <v>89</v>
      </c>
      <c r="C90" s="206">
        <v>89</v>
      </c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ht="24" x14ac:dyDescent="0.3">
      <c r="A91" s="204" t="s">
        <v>484</v>
      </c>
      <c r="B91" s="202">
        <v>90</v>
      </c>
      <c r="C91" s="206">
        <v>90</v>
      </c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ht="24" x14ac:dyDescent="0.3">
      <c r="A92" s="204" t="s">
        <v>531</v>
      </c>
      <c r="B92" s="202">
        <v>91</v>
      </c>
      <c r="C92" s="206">
        <v>91</v>
      </c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ht="24" x14ac:dyDescent="0.3">
      <c r="A93" s="204" t="s">
        <v>246</v>
      </c>
      <c r="B93" s="202">
        <v>92</v>
      </c>
      <c r="C93" s="206">
        <v>92</v>
      </c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ht="24" x14ac:dyDescent="0.3">
      <c r="A94" s="204" t="s">
        <v>480</v>
      </c>
      <c r="B94" s="202">
        <v>93</v>
      </c>
      <c r="C94" s="206">
        <v>93</v>
      </c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ht="24" x14ac:dyDescent="0.3">
      <c r="A95" s="204" t="s">
        <v>532</v>
      </c>
      <c r="B95" s="202">
        <v>94</v>
      </c>
      <c r="C95" s="206">
        <v>94</v>
      </c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ht="24" x14ac:dyDescent="0.3">
      <c r="A96" s="204" t="s">
        <v>501</v>
      </c>
      <c r="B96" s="202">
        <v>95</v>
      </c>
      <c r="C96" s="206">
        <v>95</v>
      </c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ht="24" x14ac:dyDescent="0.3">
      <c r="A97" s="204" t="s">
        <v>484</v>
      </c>
      <c r="B97" s="202">
        <v>96</v>
      </c>
      <c r="C97" s="206">
        <v>96</v>
      </c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ht="24" x14ac:dyDescent="0.3">
      <c r="A98" s="204" t="s">
        <v>247</v>
      </c>
      <c r="B98" s="202">
        <v>97</v>
      </c>
      <c r="C98" s="206">
        <v>97</v>
      </c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ht="24" x14ac:dyDescent="0.3">
      <c r="A99" s="204" t="s">
        <v>480</v>
      </c>
      <c r="B99" s="202">
        <v>98</v>
      </c>
      <c r="C99" s="206">
        <v>98</v>
      </c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ht="24" x14ac:dyDescent="0.3">
      <c r="A100" s="204" t="s">
        <v>532</v>
      </c>
      <c r="B100" s="202">
        <v>99</v>
      </c>
      <c r="C100" s="206">
        <v>99</v>
      </c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ht="24" x14ac:dyDescent="0.3">
      <c r="A101" s="204" t="s">
        <v>501</v>
      </c>
      <c r="B101" s="202">
        <v>100</v>
      </c>
      <c r="C101" s="206">
        <v>100</v>
      </c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ht="24" x14ac:dyDescent="0.3">
      <c r="A102" s="204" t="s">
        <v>484</v>
      </c>
      <c r="B102" s="202">
        <v>101</v>
      </c>
      <c r="C102" s="206">
        <v>101</v>
      </c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ht="24" x14ac:dyDescent="0.3">
      <c r="A103" s="204" t="s">
        <v>248</v>
      </c>
      <c r="B103" s="202">
        <v>102</v>
      </c>
      <c r="C103" s="206">
        <v>102</v>
      </c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ht="24" x14ac:dyDescent="0.3">
      <c r="A104" s="204" t="s">
        <v>480</v>
      </c>
      <c r="B104" s="202">
        <v>103</v>
      </c>
      <c r="C104" s="206">
        <v>103</v>
      </c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ht="24" x14ac:dyDescent="0.3">
      <c r="A105" s="204" t="s">
        <v>532</v>
      </c>
      <c r="B105" s="202">
        <v>104</v>
      </c>
      <c r="C105" s="206">
        <v>104</v>
      </c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ht="24" x14ac:dyDescent="0.3">
      <c r="A106" s="204" t="s">
        <v>501</v>
      </c>
      <c r="B106" s="202">
        <v>105</v>
      </c>
      <c r="C106" s="206">
        <v>105</v>
      </c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ht="24" x14ac:dyDescent="0.3">
      <c r="A107" s="204" t="s">
        <v>484</v>
      </c>
      <c r="B107" s="202">
        <v>106</v>
      </c>
      <c r="C107" s="206">
        <v>106</v>
      </c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ht="24" x14ac:dyDescent="0.3">
      <c r="A108" s="204" t="s">
        <v>249</v>
      </c>
      <c r="B108" s="202">
        <v>107</v>
      </c>
      <c r="C108" s="206">
        <v>107</v>
      </c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ht="24" x14ac:dyDescent="0.3">
      <c r="A109" s="204" t="s">
        <v>480</v>
      </c>
      <c r="B109" s="202">
        <v>108</v>
      </c>
      <c r="C109" s="206">
        <v>108</v>
      </c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ht="24" x14ac:dyDescent="0.3">
      <c r="A110" s="204" t="s">
        <v>532</v>
      </c>
      <c r="B110" s="202">
        <v>109</v>
      </c>
      <c r="C110" s="206">
        <v>109</v>
      </c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ht="24" x14ac:dyDescent="0.3">
      <c r="A111" s="204" t="s">
        <v>501</v>
      </c>
      <c r="B111" s="202">
        <v>110</v>
      </c>
      <c r="C111" s="206">
        <v>110</v>
      </c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ht="24" x14ac:dyDescent="0.3">
      <c r="A112" s="204" t="s">
        <v>484</v>
      </c>
      <c r="B112" s="202">
        <v>111</v>
      </c>
      <c r="C112" s="206">
        <v>111</v>
      </c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ht="24" x14ac:dyDescent="0.3">
      <c r="A113" s="204" t="s">
        <v>250</v>
      </c>
      <c r="B113" s="202">
        <v>112</v>
      </c>
      <c r="C113" s="206">
        <v>112</v>
      </c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ht="24" x14ac:dyDescent="0.3">
      <c r="A114" s="204" t="s">
        <v>501</v>
      </c>
      <c r="B114" s="202">
        <v>113</v>
      </c>
      <c r="C114" s="206">
        <v>113</v>
      </c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ht="24" x14ac:dyDescent="0.3">
      <c r="A115" s="204" t="s">
        <v>533</v>
      </c>
      <c r="B115" s="202">
        <v>114</v>
      </c>
      <c r="C115" s="206">
        <v>114</v>
      </c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ht="24" x14ac:dyDescent="0.3">
      <c r="A116" s="204" t="s">
        <v>534</v>
      </c>
      <c r="B116" s="202">
        <v>115</v>
      </c>
      <c r="C116" s="206">
        <v>115</v>
      </c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ht="24" x14ac:dyDescent="0.3">
      <c r="A117" s="204" t="s">
        <v>484</v>
      </c>
      <c r="B117" s="202">
        <v>116</v>
      </c>
      <c r="C117" s="206">
        <v>116</v>
      </c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ht="24" x14ac:dyDescent="0.3">
      <c r="A118" s="204" t="s">
        <v>251</v>
      </c>
      <c r="B118" s="202">
        <v>117</v>
      </c>
      <c r="C118" s="206">
        <v>117</v>
      </c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ht="24" x14ac:dyDescent="0.3">
      <c r="A119" s="204" t="s">
        <v>480</v>
      </c>
      <c r="B119" s="202">
        <v>118</v>
      </c>
      <c r="C119" s="206">
        <v>118</v>
      </c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ht="24" x14ac:dyDescent="0.3">
      <c r="A120" s="204" t="s">
        <v>532</v>
      </c>
      <c r="B120" s="202">
        <v>119</v>
      </c>
      <c r="C120" s="206">
        <v>119</v>
      </c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ht="24" x14ac:dyDescent="0.3">
      <c r="A121" s="204" t="s">
        <v>535</v>
      </c>
      <c r="B121" s="202">
        <v>120</v>
      </c>
      <c r="C121" s="206">
        <v>120</v>
      </c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ht="24" x14ac:dyDescent="0.3">
      <c r="A122" s="204" t="s">
        <v>484</v>
      </c>
      <c r="B122" s="202">
        <v>121</v>
      </c>
      <c r="C122" s="206">
        <v>121</v>
      </c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ht="24" x14ac:dyDescent="0.3">
      <c r="A123" s="204" t="s">
        <v>252</v>
      </c>
      <c r="B123" s="202">
        <v>122</v>
      </c>
      <c r="C123" s="206">
        <v>122</v>
      </c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ht="24" x14ac:dyDescent="0.3">
      <c r="A124" s="204" t="s">
        <v>480</v>
      </c>
      <c r="B124" s="202">
        <v>123</v>
      </c>
      <c r="C124" s="206">
        <v>123</v>
      </c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ht="24" x14ac:dyDescent="0.3">
      <c r="A125" s="204" t="s">
        <v>532</v>
      </c>
      <c r="B125" s="202">
        <v>124</v>
      </c>
      <c r="C125" s="206">
        <v>124</v>
      </c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ht="24" x14ac:dyDescent="0.3">
      <c r="A126" s="204" t="s">
        <v>484</v>
      </c>
      <c r="B126" s="202">
        <v>125</v>
      </c>
      <c r="C126" s="206">
        <v>125</v>
      </c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ht="24" x14ac:dyDescent="0.3">
      <c r="A127" s="204" t="s">
        <v>536</v>
      </c>
      <c r="B127" s="202">
        <v>126</v>
      </c>
      <c r="C127" s="206">
        <v>126</v>
      </c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ht="24" x14ac:dyDescent="0.3">
      <c r="A128" s="204" t="s">
        <v>253</v>
      </c>
      <c r="B128" s="202">
        <v>127</v>
      </c>
      <c r="C128" s="206">
        <v>127</v>
      </c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ht="24" x14ac:dyDescent="0.3">
      <c r="A129" s="204" t="s">
        <v>501</v>
      </c>
      <c r="B129" s="202">
        <v>128</v>
      </c>
      <c r="C129" s="206">
        <v>128</v>
      </c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ht="24" x14ac:dyDescent="0.3">
      <c r="A130" s="204" t="s">
        <v>533</v>
      </c>
      <c r="B130" s="202">
        <v>129</v>
      </c>
      <c r="C130" s="206">
        <v>129</v>
      </c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ht="24" x14ac:dyDescent="0.3">
      <c r="A131" s="204" t="s">
        <v>534</v>
      </c>
      <c r="B131" s="202">
        <v>130</v>
      </c>
      <c r="C131" s="206">
        <v>130</v>
      </c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ht="24" x14ac:dyDescent="0.3">
      <c r="A132" s="204" t="s">
        <v>484</v>
      </c>
      <c r="B132" s="202">
        <v>131</v>
      </c>
      <c r="C132" s="206">
        <v>131</v>
      </c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ht="24" x14ac:dyDescent="0.3">
      <c r="A133" s="204" t="s">
        <v>254</v>
      </c>
      <c r="B133" s="202">
        <v>132</v>
      </c>
      <c r="C133" s="206">
        <v>132</v>
      </c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ht="24" x14ac:dyDescent="0.3">
      <c r="A134" s="204" t="s">
        <v>480</v>
      </c>
      <c r="B134" s="202">
        <v>133</v>
      </c>
      <c r="C134" s="206">
        <v>133</v>
      </c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ht="24" x14ac:dyDescent="0.3">
      <c r="A135" s="204" t="s">
        <v>521</v>
      </c>
      <c r="B135" s="202">
        <v>134</v>
      </c>
      <c r="C135" s="206">
        <v>134</v>
      </c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ht="24" x14ac:dyDescent="0.3">
      <c r="A136" s="204" t="s">
        <v>484</v>
      </c>
      <c r="B136" s="202">
        <v>135</v>
      </c>
      <c r="C136" s="206">
        <v>135</v>
      </c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ht="24" x14ac:dyDescent="0.3">
      <c r="A137" s="204" t="s">
        <v>255</v>
      </c>
      <c r="B137" s="202">
        <v>136</v>
      </c>
      <c r="C137" s="206">
        <v>136</v>
      </c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ht="24" x14ac:dyDescent="0.3">
      <c r="A138" s="204" t="s">
        <v>501</v>
      </c>
      <c r="B138" s="202">
        <v>137</v>
      </c>
      <c r="C138" s="206">
        <v>137</v>
      </c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ht="24" x14ac:dyDescent="0.3">
      <c r="A139" s="204" t="s">
        <v>505</v>
      </c>
      <c r="B139" s="202">
        <v>138</v>
      </c>
      <c r="C139" s="206">
        <v>138</v>
      </c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ht="24" x14ac:dyDescent="0.3">
      <c r="A140" s="204" t="s">
        <v>484</v>
      </c>
      <c r="B140" s="202">
        <v>139</v>
      </c>
      <c r="C140" s="206">
        <v>139</v>
      </c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ht="24" x14ac:dyDescent="0.3">
      <c r="A141" s="204" t="s">
        <v>256</v>
      </c>
      <c r="B141" s="202">
        <v>140</v>
      </c>
      <c r="C141" s="206">
        <v>140</v>
      </c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ht="24" x14ac:dyDescent="0.3">
      <c r="A142" s="204" t="s">
        <v>537</v>
      </c>
      <c r="B142" s="202">
        <v>141</v>
      </c>
      <c r="C142" s="206">
        <v>141</v>
      </c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ht="24" x14ac:dyDescent="0.3">
      <c r="A143" s="204" t="s">
        <v>501</v>
      </c>
      <c r="B143" s="202">
        <v>142</v>
      </c>
      <c r="C143" s="206">
        <v>142</v>
      </c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ht="24" x14ac:dyDescent="0.3">
      <c r="A144" s="204" t="s">
        <v>505</v>
      </c>
      <c r="B144" s="202">
        <v>143</v>
      </c>
      <c r="C144" s="206">
        <v>143</v>
      </c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ht="24" x14ac:dyDescent="0.3">
      <c r="A145" s="204" t="s">
        <v>484</v>
      </c>
      <c r="B145" s="202">
        <v>144</v>
      </c>
      <c r="C145" s="206">
        <v>144</v>
      </c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ht="24" x14ac:dyDescent="0.3">
      <c r="A146" s="204" t="s">
        <v>257</v>
      </c>
      <c r="B146" s="202">
        <v>145</v>
      </c>
      <c r="C146" s="206">
        <v>145</v>
      </c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ht="24" x14ac:dyDescent="0.3">
      <c r="A147" s="204" t="s">
        <v>258</v>
      </c>
      <c r="B147" s="202">
        <v>146</v>
      </c>
      <c r="C147" s="206">
        <v>146</v>
      </c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ht="24" x14ac:dyDescent="0.3">
      <c r="A148" s="204" t="s">
        <v>480</v>
      </c>
      <c r="B148" s="202">
        <v>147</v>
      </c>
      <c r="C148" s="206">
        <v>147</v>
      </c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ht="24" x14ac:dyDescent="0.3">
      <c r="A149" s="204" t="s">
        <v>532</v>
      </c>
      <c r="B149" s="202">
        <v>148</v>
      </c>
      <c r="C149" s="206">
        <v>148</v>
      </c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ht="24" x14ac:dyDescent="0.3">
      <c r="A150" s="204" t="s">
        <v>483</v>
      </c>
      <c r="B150" s="202">
        <v>149</v>
      </c>
      <c r="C150" s="206">
        <v>149</v>
      </c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ht="24" x14ac:dyDescent="0.3">
      <c r="A151" s="204" t="s">
        <v>484</v>
      </c>
      <c r="B151" s="202">
        <v>150</v>
      </c>
      <c r="C151" s="206">
        <v>150</v>
      </c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ht="24" x14ac:dyDescent="0.3">
      <c r="A152" s="204" t="s">
        <v>259</v>
      </c>
      <c r="B152" s="202">
        <v>151</v>
      </c>
      <c r="C152" s="206">
        <v>151</v>
      </c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ht="24" x14ac:dyDescent="0.3">
      <c r="A153" s="204" t="s">
        <v>501</v>
      </c>
      <c r="B153" s="202">
        <v>152</v>
      </c>
      <c r="C153" s="206">
        <v>152</v>
      </c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ht="24" x14ac:dyDescent="0.3">
      <c r="A154" s="204" t="s">
        <v>505</v>
      </c>
      <c r="B154" s="202">
        <v>153</v>
      </c>
      <c r="C154" s="206">
        <v>153</v>
      </c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ht="24" x14ac:dyDescent="0.3">
      <c r="A155" s="204" t="s">
        <v>483</v>
      </c>
      <c r="B155" s="202">
        <v>154</v>
      </c>
      <c r="C155" s="206">
        <v>154</v>
      </c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ht="24" x14ac:dyDescent="0.3">
      <c r="A156" s="204" t="s">
        <v>484</v>
      </c>
      <c r="B156" s="202">
        <v>155</v>
      </c>
      <c r="C156" s="206">
        <v>155</v>
      </c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ht="24" x14ac:dyDescent="0.3">
      <c r="A157" s="204" t="s">
        <v>260</v>
      </c>
      <c r="B157" s="202">
        <v>156</v>
      </c>
      <c r="C157" s="206">
        <v>156</v>
      </c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ht="24" x14ac:dyDescent="0.3">
      <c r="A158" s="204" t="s">
        <v>480</v>
      </c>
      <c r="B158" s="202">
        <v>157</v>
      </c>
      <c r="C158" s="206">
        <v>157</v>
      </c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ht="24" x14ac:dyDescent="0.3">
      <c r="A159" s="204" t="s">
        <v>521</v>
      </c>
      <c r="B159" s="202">
        <v>158</v>
      </c>
      <c r="C159" s="206">
        <v>158</v>
      </c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ht="24" x14ac:dyDescent="0.3">
      <c r="A160" s="204" t="s">
        <v>483</v>
      </c>
      <c r="B160" s="202">
        <v>159</v>
      </c>
      <c r="C160" s="206">
        <v>159</v>
      </c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ht="24" x14ac:dyDescent="0.3">
      <c r="A161" s="204" t="s">
        <v>484</v>
      </c>
      <c r="B161" s="202">
        <v>160</v>
      </c>
      <c r="C161" s="206">
        <v>160</v>
      </c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ht="25" thickBot="1" x14ac:dyDescent="0.35">
      <c r="A162" s="205" t="s">
        <v>261</v>
      </c>
      <c r="B162" s="203">
        <v>161</v>
      </c>
      <c r="C162" s="207">
        <v>161</v>
      </c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7">
    <pageSetUpPr fitToPage="1"/>
  </sheetPr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8.83203125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300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620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262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263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264</v>
      </c>
      <c r="B6" s="202">
        <v>5</v>
      </c>
      <c r="C6" s="206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4" x14ac:dyDescent="0.3">
      <c r="A7" s="204" t="s">
        <v>265</v>
      </c>
      <c r="B7" s="202">
        <v>6</v>
      </c>
      <c r="C7" s="206">
        <v>6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ht="25" thickBot="1" x14ac:dyDescent="0.35">
      <c r="A8" s="205" t="s">
        <v>266</v>
      </c>
      <c r="B8" s="203">
        <v>7</v>
      </c>
      <c r="C8" s="207">
        <v>7</v>
      </c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x14ac:dyDescent="0.2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x14ac:dyDescent="0.2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x14ac:dyDescent="0.2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D99A-5A86-4876-AA5B-AAB81B333B1A}">
  <sheetPr codeName="Feuil18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8.83203125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300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605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262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263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267</v>
      </c>
      <c r="B6" s="202">
        <v>5</v>
      </c>
      <c r="C6" s="206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4" x14ac:dyDescent="0.3">
      <c r="A7" s="204" t="s">
        <v>268</v>
      </c>
      <c r="B7" s="202">
        <v>6</v>
      </c>
      <c r="C7" s="206">
        <v>6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ht="24" x14ac:dyDescent="0.3">
      <c r="A8" s="204" t="s">
        <v>269</v>
      </c>
      <c r="B8" s="202">
        <v>7</v>
      </c>
      <c r="C8" s="206">
        <v>7</v>
      </c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ht="24" x14ac:dyDescent="0.3">
      <c r="A9" s="204" t="s">
        <v>270</v>
      </c>
      <c r="B9" s="202">
        <v>8</v>
      </c>
      <c r="C9" s="206">
        <v>8</v>
      </c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ht="25" thickBot="1" x14ac:dyDescent="0.35">
      <c r="A10" s="205" t="s">
        <v>266</v>
      </c>
      <c r="B10" s="203">
        <v>9</v>
      </c>
      <c r="C10" s="207">
        <v>9</v>
      </c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x14ac:dyDescent="0.2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19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11.5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271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272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264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265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5" thickBot="1" x14ac:dyDescent="0.35">
      <c r="A6" s="205" t="s">
        <v>273</v>
      </c>
      <c r="B6" s="203">
        <v>5</v>
      </c>
      <c r="C6" s="207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x14ac:dyDescent="0.2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x14ac:dyDescent="0.2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x14ac:dyDescent="0.2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x14ac:dyDescent="0.2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x14ac:dyDescent="0.2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20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11.5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116</v>
      </c>
      <c r="C1" s="213" t="s">
        <v>117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274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275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276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5" thickBot="1" x14ac:dyDescent="0.35">
      <c r="A5" s="205" t="s">
        <v>277</v>
      </c>
      <c r="B5" s="203">
        <v>4</v>
      </c>
      <c r="C5" s="207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x14ac:dyDescent="0.2">
      <c r="A6" s="147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x14ac:dyDescent="0.2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x14ac:dyDescent="0.2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x14ac:dyDescent="0.2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x14ac:dyDescent="0.2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x14ac:dyDescent="0.2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9.1640625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117</v>
      </c>
      <c r="C1" s="213" t="s">
        <v>116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278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279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5" thickBot="1" x14ac:dyDescent="0.35">
      <c r="A4" s="205" t="s">
        <v>280</v>
      </c>
      <c r="B4" s="203">
        <v>3</v>
      </c>
      <c r="C4" s="207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x14ac:dyDescent="0.2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x14ac:dyDescent="0.2">
      <c r="A6" s="147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x14ac:dyDescent="0.2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x14ac:dyDescent="0.2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x14ac:dyDescent="0.2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x14ac:dyDescent="0.2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x14ac:dyDescent="0.2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DD20-5C04-4962-8EB1-B3822BE73BF1}">
  <sheetPr codeName="Feuil22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8.83203125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117</v>
      </c>
      <c r="C1" s="213" t="s">
        <v>116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281</v>
      </c>
      <c r="B2" s="209">
        <v>4</v>
      </c>
      <c r="C2" s="210">
        <v>4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282</v>
      </c>
      <c r="B3" s="202">
        <v>5</v>
      </c>
      <c r="C3" s="206">
        <v>5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5" thickBot="1" x14ac:dyDescent="0.35">
      <c r="A4" s="205" t="s">
        <v>283</v>
      </c>
      <c r="B4" s="203">
        <v>6</v>
      </c>
      <c r="C4" s="207">
        <v>6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x14ac:dyDescent="0.2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x14ac:dyDescent="0.2">
      <c r="A6" s="147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x14ac:dyDescent="0.2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x14ac:dyDescent="0.2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x14ac:dyDescent="0.2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x14ac:dyDescent="0.2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x14ac:dyDescent="0.2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8CEB-ED55-4FF9-87EC-FD6A30776A26}">
  <sheetPr codeName="Feuil23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11.5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117</v>
      </c>
      <c r="C1" s="213" t="s">
        <v>116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6" thickTop="1" thickBot="1" x14ac:dyDescent="0.35">
      <c r="A2" s="215" t="s">
        <v>284</v>
      </c>
      <c r="B2" s="216">
        <v>1</v>
      </c>
      <c r="C2" s="217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x14ac:dyDescent="0.2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x14ac:dyDescent="0.2">
      <c r="A4" s="14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x14ac:dyDescent="0.2">
      <c r="A5" s="14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x14ac:dyDescent="0.2">
      <c r="A6" s="14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x14ac:dyDescent="0.2">
      <c r="A7" s="14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x14ac:dyDescent="0.2">
      <c r="A8" s="14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x14ac:dyDescent="0.2">
      <c r="A9" s="14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x14ac:dyDescent="0.2">
      <c r="A10" s="14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x14ac:dyDescent="0.2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euil24"/>
  <dimension ref="A1:Z200"/>
  <sheetViews>
    <sheetView showGridLines="0" topLeftCell="A9" zoomScale="125" zoomScaleNormal="125" workbookViewId="0">
      <pane ySplit="1" topLeftCell="A10" activePane="bottomLeft" state="frozen"/>
      <selection activeCell="G189" sqref="G189"/>
      <selection pane="bottomLeft" activeCell="G189" sqref="G189"/>
    </sheetView>
  </sheetViews>
  <sheetFormatPr baseColWidth="10" defaultColWidth="8.83203125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117</v>
      </c>
      <c r="C1" s="213" t="s">
        <v>116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165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166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167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170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171</v>
      </c>
      <c r="B6" s="202">
        <v>5</v>
      </c>
      <c r="C6" s="206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4" x14ac:dyDescent="0.3">
      <c r="A7" s="204" t="s">
        <v>172</v>
      </c>
      <c r="B7" s="202">
        <v>6</v>
      </c>
      <c r="C7" s="206">
        <v>6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ht="24" x14ac:dyDescent="0.3">
      <c r="A8" s="204" t="s">
        <v>173</v>
      </c>
      <c r="B8" s="202">
        <v>7</v>
      </c>
      <c r="C8" s="206">
        <v>7</v>
      </c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ht="24" x14ac:dyDescent="0.3">
      <c r="A9" s="204" t="s">
        <v>174</v>
      </c>
      <c r="B9" s="202">
        <v>8</v>
      </c>
      <c r="C9" s="206">
        <v>8</v>
      </c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ht="24" x14ac:dyDescent="0.3">
      <c r="A10" s="204" t="s">
        <v>175</v>
      </c>
      <c r="B10" s="202">
        <v>9</v>
      </c>
      <c r="C10" s="206">
        <v>9</v>
      </c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ht="24" x14ac:dyDescent="0.3">
      <c r="A11" s="204" t="s">
        <v>176</v>
      </c>
      <c r="B11" s="202">
        <v>10</v>
      </c>
      <c r="C11" s="206">
        <v>10</v>
      </c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ht="24" x14ac:dyDescent="0.3">
      <c r="A12" s="204" t="s">
        <v>177</v>
      </c>
      <c r="B12" s="202">
        <v>11</v>
      </c>
      <c r="C12" s="206">
        <v>11</v>
      </c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ht="24" x14ac:dyDescent="0.3">
      <c r="A13" s="204" t="s">
        <v>178</v>
      </c>
      <c r="B13" s="202">
        <v>12</v>
      </c>
      <c r="C13" s="206">
        <v>12</v>
      </c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ht="24" x14ac:dyDescent="0.3">
      <c r="A14" s="204" t="s">
        <v>179</v>
      </c>
      <c r="B14" s="202">
        <v>13</v>
      </c>
      <c r="C14" s="206">
        <v>13</v>
      </c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ht="24" x14ac:dyDescent="0.3">
      <c r="A15" s="204" t="s">
        <v>180</v>
      </c>
      <c r="B15" s="202">
        <v>14</v>
      </c>
      <c r="C15" s="206">
        <v>14</v>
      </c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ht="24" x14ac:dyDescent="0.3">
      <c r="A16" s="204" t="s">
        <v>285</v>
      </c>
      <c r="B16" s="202">
        <v>15</v>
      </c>
      <c r="C16" s="206">
        <v>15</v>
      </c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ht="25" thickBot="1" x14ac:dyDescent="0.35">
      <c r="A17" s="205" t="s">
        <v>137</v>
      </c>
      <c r="B17" s="203">
        <v>16</v>
      </c>
      <c r="C17" s="207">
        <v>16</v>
      </c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euil28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9.1640625" defaultRowHeight="15" x14ac:dyDescent="0.2"/>
  <cols>
    <col min="1" max="1" width="51.6640625" customWidth="1"/>
  </cols>
  <sheetData>
    <row r="1" spans="1:26" ht="20" thickBot="1" x14ac:dyDescent="0.25">
      <c r="A1" s="211" t="s">
        <v>115</v>
      </c>
      <c r="B1" s="212" t="s">
        <v>117</v>
      </c>
      <c r="C1" s="213" t="s">
        <v>116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288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286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287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288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5" thickBot="1" x14ac:dyDescent="0.35">
      <c r="A6" s="205" t="s">
        <v>286</v>
      </c>
      <c r="B6" s="203">
        <v>5</v>
      </c>
      <c r="C6" s="207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x14ac:dyDescent="0.2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x14ac:dyDescent="0.2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x14ac:dyDescent="0.2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x14ac:dyDescent="0.2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x14ac:dyDescent="0.2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0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Feuil32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9.1640625" defaultRowHeight="15" x14ac:dyDescent="0.2"/>
  <cols>
    <col min="1" max="1" width="51.6640625" customWidth="1"/>
  </cols>
  <sheetData>
    <row r="1" spans="1:26" ht="20" thickBot="1" x14ac:dyDescent="0.25">
      <c r="A1" s="211" t="s">
        <v>115</v>
      </c>
      <c r="B1" s="212" t="s">
        <v>117</v>
      </c>
      <c r="C1" s="213" t="s">
        <v>116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289</v>
      </c>
      <c r="B2" s="209">
        <v>1</v>
      </c>
      <c r="C2" s="210">
        <v>2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290</v>
      </c>
      <c r="B3" s="202">
        <v>2</v>
      </c>
      <c r="C3" s="206">
        <v>3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291</v>
      </c>
      <c r="B4" s="202">
        <v>3</v>
      </c>
      <c r="C4" s="206">
        <v>4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5" thickBot="1" x14ac:dyDescent="0.35">
      <c r="A5" s="205" t="s">
        <v>292</v>
      </c>
      <c r="B5" s="203">
        <v>4</v>
      </c>
      <c r="C5" s="207">
        <v>5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x14ac:dyDescent="0.2">
      <c r="A6" s="147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x14ac:dyDescent="0.2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x14ac:dyDescent="0.2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x14ac:dyDescent="0.2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x14ac:dyDescent="0.2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x14ac:dyDescent="0.2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0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Feuil33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ColWidth="11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117</v>
      </c>
      <c r="C1" s="213" t="s">
        <v>116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293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294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295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296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297</v>
      </c>
      <c r="B6" s="202">
        <v>5</v>
      </c>
      <c r="C6" s="206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4" x14ac:dyDescent="0.3">
      <c r="A7" s="204" t="s">
        <v>465</v>
      </c>
      <c r="B7" s="202">
        <v>6</v>
      </c>
      <c r="C7" s="206">
        <v>6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ht="24" x14ac:dyDescent="0.3">
      <c r="A8" s="204" t="s">
        <v>462</v>
      </c>
      <c r="B8" s="202">
        <v>7</v>
      </c>
      <c r="C8" s="206">
        <v>7</v>
      </c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ht="24" x14ac:dyDescent="0.3">
      <c r="A9" s="204" t="s">
        <v>383</v>
      </c>
      <c r="B9" s="202">
        <v>8</v>
      </c>
      <c r="C9" s="206">
        <v>8</v>
      </c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ht="24" x14ac:dyDescent="0.3">
      <c r="A10" s="204" t="s">
        <v>295</v>
      </c>
      <c r="B10" s="202">
        <v>9</v>
      </c>
      <c r="C10" s="206">
        <v>9</v>
      </c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ht="24" x14ac:dyDescent="0.3">
      <c r="A11" s="204" t="s">
        <v>296</v>
      </c>
      <c r="B11" s="202">
        <v>10</v>
      </c>
      <c r="C11" s="206">
        <v>10</v>
      </c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ht="24" x14ac:dyDescent="0.3">
      <c r="A12" s="204" t="s">
        <v>297</v>
      </c>
      <c r="B12" s="202">
        <v>11</v>
      </c>
      <c r="C12" s="206">
        <v>11</v>
      </c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ht="24" x14ac:dyDescent="0.3">
      <c r="A13" s="204" t="s">
        <v>465</v>
      </c>
      <c r="B13" s="202">
        <v>12</v>
      </c>
      <c r="C13" s="206">
        <v>12</v>
      </c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ht="24" x14ac:dyDescent="0.3">
      <c r="A14" s="204" t="s">
        <v>462</v>
      </c>
      <c r="B14" s="202">
        <v>13</v>
      </c>
      <c r="C14" s="206">
        <v>13</v>
      </c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ht="24" x14ac:dyDescent="0.3">
      <c r="A15" s="204" t="s">
        <v>384</v>
      </c>
      <c r="B15" s="202">
        <v>14</v>
      </c>
      <c r="C15" s="206">
        <v>14</v>
      </c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ht="24" x14ac:dyDescent="0.3">
      <c r="A16" s="204" t="s">
        <v>295</v>
      </c>
      <c r="B16" s="202">
        <v>15</v>
      </c>
      <c r="C16" s="206">
        <v>15</v>
      </c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ht="24" x14ac:dyDescent="0.3">
      <c r="A17" s="204" t="s">
        <v>296</v>
      </c>
      <c r="B17" s="202">
        <v>16</v>
      </c>
      <c r="C17" s="206">
        <v>16</v>
      </c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ht="24" x14ac:dyDescent="0.3">
      <c r="A18" s="204" t="s">
        <v>297</v>
      </c>
      <c r="B18" s="202">
        <v>17</v>
      </c>
      <c r="C18" s="206">
        <v>17</v>
      </c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ht="24" x14ac:dyDescent="0.3">
      <c r="A19" s="204" t="s">
        <v>465</v>
      </c>
      <c r="B19" s="202">
        <v>18</v>
      </c>
      <c r="C19" s="206">
        <v>18</v>
      </c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ht="24" x14ac:dyDescent="0.3">
      <c r="A20" s="204" t="s">
        <v>462</v>
      </c>
      <c r="B20" s="202">
        <v>19</v>
      </c>
      <c r="C20" s="206">
        <v>19</v>
      </c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ht="24" x14ac:dyDescent="0.3">
      <c r="A21" s="204" t="s">
        <v>467</v>
      </c>
      <c r="B21" s="202">
        <v>20</v>
      </c>
      <c r="C21" s="206">
        <v>20</v>
      </c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ht="24" x14ac:dyDescent="0.3">
      <c r="A22" s="204" t="s">
        <v>298</v>
      </c>
      <c r="B22" s="202">
        <v>21</v>
      </c>
      <c r="C22" s="206">
        <v>21</v>
      </c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ht="24" x14ac:dyDescent="0.3">
      <c r="A23" s="204" t="s">
        <v>299</v>
      </c>
      <c r="B23" s="202">
        <v>22</v>
      </c>
      <c r="C23" s="206">
        <v>22</v>
      </c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ht="24" x14ac:dyDescent="0.3">
      <c r="A24" s="204" t="s">
        <v>561</v>
      </c>
      <c r="B24" s="202">
        <v>23</v>
      </c>
      <c r="C24" s="206">
        <v>23</v>
      </c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ht="25" thickBot="1" x14ac:dyDescent="0.35">
      <c r="A25" s="205" t="s">
        <v>560</v>
      </c>
      <c r="B25" s="203">
        <v>24</v>
      </c>
      <c r="C25" s="207">
        <v>24</v>
      </c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0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ED7A-779A-9D42-8363-3284ACCCFE53}">
  <sheetPr codeName="Sheet2"/>
  <dimension ref="A1:Z200"/>
  <sheetViews>
    <sheetView showGridLines="0" zoomScale="125" zoomScaleNormal="125" workbookViewId="0">
      <pane ySplit="1" topLeftCell="A2" activePane="bottomLeft" state="frozen"/>
      <selection activeCell="G189" sqref="G189"/>
      <selection pane="bottomLeft" activeCell="G189" sqref="G189"/>
    </sheetView>
  </sheetViews>
  <sheetFormatPr baseColWidth="10" defaultRowHeight="15" x14ac:dyDescent="0.2"/>
  <cols>
    <col min="1" max="1" width="51.6640625" customWidth="1"/>
    <col min="2" max="3" width="9.1640625" customWidth="1"/>
  </cols>
  <sheetData>
    <row r="1" spans="1:26" ht="20" thickBot="1" x14ac:dyDescent="0.25">
      <c r="A1" s="211" t="s">
        <v>115</v>
      </c>
      <c r="B1" s="212" t="s">
        <v>117</v>
      </c>
      <c r="C1" s="213" t="s">
        <v>116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25" thickTop="1" x14ac:dyDescent="0.3">
      <c r="A2" s="208" t="s">
        <v>466</v>
      </c>
      <c r="B2" s="209">
        <v>1</v>
      </c>
      <c r="C2" s="210">
        <v>1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24" x14ac:dyDescent="0.3">
      <c r="A3" s="204" t="s">
        <v>463</v>
      </c>
      <c r="B3" s="202">
        <v>2</v>
      </c>
      <c r="C3" s="206">
        <v>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24" x14ac:dyDescent="0.3">
      <c r="A4" s="204" t="s">
        <v>464</v>
      </c>
      <c r="B4" s="202">
        <v>3</v>
      </c>
      <c r="C4" s="206">
        <v>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24" x14ac:dyDescent="0.3">
      <c r="A5" s="204" t="s">
        <v>297</v>
      </c>
      <c r="B5" s="202">
        <v>4</v>
      </c>
      <c r="C5" s="206">
        <v>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24" x14ac:dyDescent="0.3">
      <c r="A6" s="204" t="s">
        <v>462</v>
      </c>
      <c r="B6" s="202">
        <v>5</v>
      </c>
      <c r="C6" s="206">
        <v>5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24" x14ac:dyDescent="0.3">
      <c r="A7" s="204" t="s">
        <v>465</v>
      </c>
      <c r="B7" s="202">
        <v>6</v>
      </c>
      <c r="C7" s="206">
        <v>6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ht="24" x14ac:dyDescent="0.3">
      <c r="A8" s="204" t="s">
        <v>299</v>
      </c>
      <c r="B8" s="202">
        <v>7</v>
      </c>
      <c r="C8" s="206">
        <v>7</v>
      </c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ht="24" x14ac:dyDescent="0.3">
      <c r="A9" s="204" t="s">
        <v>559</v>
      </c>
      <c r="B9" s="202">
        <v>8</v>
      </c>
      <c r="C9" s="206">
        <v>8</v>
      </c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ht="25" thickBot="1" x14ac:dyDescent="0.35">
      <c r="A10" s="205" t="s">
        <v>560</v>
      </c>
      <c r="B10" s="203">
        <v>9</v>
      </c>
      <c r="C10" s="207">
        <v>9</v>
      </c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x14ac:dyDescent="0.2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x14ac:dyDescent="0.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x14ac:dyDescent="0.2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x14ac:dyDescent="0.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x14ac:dyDescent="0.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x14ac:dyDescent="0.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x14ac:dyDescent="0.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x14ac:dyDescent="0.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x14ac:dyDescent="0.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x14ac:dyDescent="0.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x14ac:dyDescent="0.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x14ac:dyDescent="0.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x14ac:dyDescent="0.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x14ac:dyDescent="0.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x14ac:dyDescent="0.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x14ac:dyDescent="0.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x14ac:dyDescent="0.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x14ac:dyDescent="0.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x14ac:dyDescent="0.2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x14ac:dyDescent="0.2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x14ac:dyDescent="0.2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x14ac:dyDescent="0.2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x14ac:dyDescent="0.2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x14ac:dyDescent="0.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x14ac:dyDescent="0.2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x14ac:dyDescent="0.2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x14ac:dyDescent="0.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x14ac:dyDescent="0.2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x14ac:dyDescent="0.2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x14ac:dyDescent="0.2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x14ac:dyDescent="0.2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x14ac:dyDescent="0.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x14ac:dyDescent="0.2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x14ac:dyDescent="0.2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x14ac:dyDescent="0.2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x14ac:dyDescent="0.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x14ac:dyDescent="0.2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x14ac:dyDescent="0.2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x14ac:dyDescent="0.2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x14ac:dyDescent="0.2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x14ac:dyDescent="0.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x14ac:dyDescent="0.2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x14ac:dyDescent="0.2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x14ac:dyDescent="0.2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x14ac:dyDescent="0.2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x14ac:dyDescent="0.2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x14ac:dyDescent="0.2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x14ac:dyDescent="0.2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x14ac:dyDescent="0.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x14ac:dyDescent="0.2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x14ac:dyDescent="0.2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x14ac:dyDescent="0.2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x14ac:dyDescent="0.2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x14ac:dyDescent="0.2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x14ac:dyDescent="0.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x14ac:dyDescent="0.2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x14ac:dyDescent="0.2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x14ac:dyDescent="0.2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x14ac:dyDescent="0.2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x14ac:dyDescent="0.2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x14ac:dyDescent="0.2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x14ac:dyDescent="0.2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x14ac:dyDescent="0.2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x14ac:dyDescent="0.2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x14ac:dyDescent="0.2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x14ac:dyDescent="0.2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x14ac:dyDescent="0.2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x14ac:dyDescent="0.2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x14ac:dyDescent="0.2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x14ac:dyDescent="0.2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x14ac:dyDescent="0.2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x14ac:dyDescent="0.2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x14ac:dyDescent="0.2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x14ac:dyDescent="0.2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x14ac:dyDescent="0.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x14ac:dyDescent="0.2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x14ac:dyDescent="0.2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x14ac:dyDescent="0.2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x14ac:dyDescent="0.2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x14ac:dyDescent="0.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x14ac:dyDescent="0.2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x14ac:dyDescent="0.2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x14ac:dyDescent="0.2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x14ac:dyDescent="0.2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x14ac:dyDescent="0.2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x14ac:dyDescent="0.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x14ac:dyDescent="0.2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x14ac:dyDescent="0.2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x14ac:dyDescent="0.2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x14ac:dyDescent="0.2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x14ac:dyDescent="0.2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x14ac:dyDescent="0.2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x14ac:dyDescent="0.2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x14ac:dyDescent="0.2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x14ac:dyDescent="0.2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x14ac:dyDescent="0.2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x14ac:dyDescent="0.2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x14ac:dyDescent="0.2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x14ac:dyDescent="0.2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x14ac:dyDescent="0.2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x14ac:dyDescent="0.2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x14ac:dyDescent="0.2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x14ac:dyDescent="0.2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x14ac:dyDescent="0.2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x14ac:dyDescent="0.2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x14ac:dyDescent="0.2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x14ac:dyDescent="0.2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x14ac:dyDescent="0.2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x14ac:dyDescent="0.2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x14ac:dyDescent="0.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x14ac:dyDescent="0.2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x14ac:dyDescent="0.2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x14ac:dyDescent="0.2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x14ac:dyDescent="0.2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x14ac:dyDescent="0.2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x14ac:dyDescent="0.2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c1abfa-485b-41c9-a329-38772ca1fd48" xsi:nil="true"/>
    <lcf76f155ced4ddcb4097134ff3c332f xmlns="77fe99b9-4c2d-4579-b501-bb5e063d7fa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425907DE08940A7BA210B915F12F6" ma:contentTypeVersion="15" ma:contentTypeDescription="Create a new document." ma:contentTypeScope="" ma:versionID="33c76ea2a1624c71b06d3ae4b6fc52e7">
  <xsd:schema xmlns:xsd="http://www.w3.org/2001/XMLSchema" xmlns:xs="http://www.w3.org/2001/XMLSchema" xmlns:p="http://schemas.microsoft.com/office/2006/metadata/properties" xmlns:ns2="77fe99b9-4c2d-4579-b501-bb5e063d7fa9" xmlns:ns3="50c6eef4-1ead-4815-abc4-f9050535380e" xmlns:ns4="20c1abfa-485b-41c9-a329-38772ca1fd48" targetNamespace="http://schemas.microsoft.com/office/2006/metadata/properties" ma:root="true" ma:fieldsID="bf2973db7c436a32255e8783a1452735" ns2:_="" ns3:_="" ns4:_="">
    <xsd:import namespace="77fe99b9-4c2d-4579-b501-bb5e063d7fa9"/>
    <xsd:import namespace="50c6eef4-1ead-4815-abc4-f9050535380e"/>
    <xsd:import namespace="20c1abfa-485b-41c9-a329-38772ca1fd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e99b9-4c2d-4579-b501-bb5e063d7f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f8169e7-20d4-4f95-9450-953b2d8ea5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6eef4-1ead-4815-abc4-f9050535380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c1abfa-485b-41c9-a329-38772ca1fd4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31bef08-1a59-4cee-91cb-94d5b3e27f20}" ma:internalName="TaxCatchAll" ma:showField="CatchAllData" ma:web="50c6eef4-1ead-4815-abc4-f90505353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BA4BA2-4A1A-4029-B25A-AFCCEADA54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EF3517-D60C-4281-9857-2A3559BED367}">
  <ds:schemaRefs>
    <ds:schemaRef ds:uri="http://purl.org/dc/dcmitype/"/>
    <ds:schemaRef ds:uri="77fe99b9-4c2d-4579-b501-bb5e063d7fa9"/>
    <ds:schemaRef ds:uri="20c1abfa-485b-41c9-a329-38772ca1fd48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0c6eef4-1ead-4815-abc4-f9050535380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1B13598-918B-429A-AF08-7B39640881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e99b9-4c2d-4579-b501-bb5e063d7fa9"/>
    <ds:schemaRef ds:uri="50c6eef4-1ead-4815-abc4-f9050535380e"/>
    <ds:schemaRef ds:uri="20c1abfa-485b-41c9-a329-38772ca1fd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</vt:i4>
      </vt:variant>
    </vt:vector>
  </HeadingPairs>
  <TitlesOfParts>
    <vt:vector size="32" baseType="lpstr">
      <vt:lpstr>Recap</vt:lpstr>
      <vt:lpstr>Labels</vt:lpstr>
      <vt:lpstr>sec1_deviation</vt:lpstr>
      <vt:lpstr>sec1_scr_pat</vt:lpstr>
      <vt:lpstr>sec1_inc_pat</vt:lpstr>
      <vt:lpstr>sec1_nb_vt</vt:lpstr>
      <vt:lpstr>sec1_inc_mitt</vt:lpstr>
      <vt:lpstr>sec2_bas_char_tot</vt:lpstr>
      <vt:lpstr>sec2_bas_char</vt:lpstr>
      <vt:lpstr>sec2_labdiag</vt:lpstr>
      <vt:lpstr>sec2_res_mal</vt:lpstr>
      <vt:lpstr>sec2_taste</vt:lpstr>
      <vt:lpstr>sec2_accept</vt:lpstr>
      <vt:lpstr>sec2_acc</vt:lpstr>
      <vt:lpstr>sec2_vit_sg</vt:lpstr>
      <vt:lpstr>sec2_rhat</vt:lpstr>
      <vt:lpstr>sec2_mehs_soc</vt:lpstr>
      <vt:lpstr>sec2_physex</vt:lpstr>
      <vt:lpstr>sec2_neurex</vt:lpstr>
      <vt:lpstr>sec2_hema</vt:lpstr>
      <vt:lpstr>sec2_hemagluc</vt:lpstr>
      <vt:lpstr>sec2_ecg</vt:lpstr>
      <vt:lpstr>sec2_hs_rhat</vt:lpstr>
      <vt:lpstr>sec3_patdev1</vt:lpstr>
      <vt:lpstr>sec3_patdev2</vt:lpstr>
      <vt:lpstr>sec4_wbc</vt:lpstr>
      <vt:lpstr>sec5_ssrhat</vt:lpstr>
      <vt:lpstr>sec5_vitsigns</vt:lpstr>
      <vt:lpstr>sec5_genstatus</vt:lpstr>
      <vt:lpstr>sec5_aenumb</vt:lpstr>
      <vt:lpstr>sec5_aetreat</vt:lpstr>
      <vt:lpstr>TablesList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Y-AMEVOIN</dc:creator>
  <cp:keywords/>
  <dc:description/>
  <cp:lastModifiedBy>Komlavi Yves AMEVOIN</cp:lastModifiedBy>
  <cp:revision/>
  <dcterms:created xsi:type="dcterms:W3CDTF">2021-08-11T18:02:00Z</dcterms:created>
  <dcterms:modified xsi:type="dcterms:W3CDTF">2026-06-02T12:27:35Z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0x010100EDE425907DE08940A7BA210B915F12F6</vt:lpwstr>
  </property>
  <property fmtid="{D5CDD505-2E9C-101B-9397-08002B2CF9AE}" pid="3" name="KSOProductBuildVer">
    <vt:lpwstr>1033-11.1.0.10702</vt:lpwstr>
  </property>
  <property fmtid="{D5CDD505-2E9C-101B-9397-08002B2CF9AE}" pid="4" name="MediaServiceImageTags">
    <vt:lpwstr/>
  </property>
</Properties>
</file>

<file path=userCustomization/customUI.xml><?xml version="1.0" encoding="utf-8"?>
<mso:customUI xmlns:mso="http://schemas.microsoft.com/office/2006/01/customui">
  <mso:ribbon>
    <mso:qat>
      <mso:documentControls>
        <mso:control idQ="mso:GoTo" visible="true"/>
      </mso:documentControls>
    </mso:qat>
  </mso:ribbon>
</mso:customUI>
</file>